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+xml"/>
  <Override PartName="/xl/tables/table1.xml" ContentType="application/vnd.openxmlformats-officedocument.spreadsheetml.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carol\Downloads\"/>
    </mc:Choice>
  </mc:AlternateContent>
  <xr:revisionPtr revIDLastSave="0" documentId="8_{72DB677C-231B-4BF8-AEDA-AF4BE546B54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LTA Forecast" sheetId="34" r:id="rId1"/>
    <sheet name="ULTA Q Rev (Acual)" sheetId="35" r:id="rId2"/>
    <sheet name="ULTA %Sales &amp; Trend" sheetId="36" r:id="rId3"/>
    <sheet name="ULTA CMA" sheetId="38" r:id="rId4"/>
    <sheet name="ULTA Forecast Factors" sheetId="39" r:id="rId5"/>
    <sheet name="ULTA Expo Smooth" sheetId="40" r:id="rId6"/>
    <sheet name="ULTA HLTES" sheetId="41" r:id="rId7"/>
    <sheet name="ULTA HWAS" sheetId="42" r:id="rId8"/>
    <sheet name="ULTA HWMS" sheetId="43" r:id="rId9"/>
    <sheet name="ULTA Time Series Reg" sheetId="45" r:id="rId10"/>
    <sheet name="ULTA ETS" sheetId="46" r:id="rId11"/>
  </sheets>
  <externalReferences>
    <externalReference r:id="rId12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elling_Price">'[1]Base Case'!$B$11</definedName>
    <definedName name="solver_adj" localSheetId="5" hidden="1">'ULTA Expo Smooth'!$G$5</definedName>
    <definedName name="solver_adj" localSheetId="6" hidden="1">'ULTA HLTES'!$D$5:$D$6</definedName>
    <definedName name="solver_adj" localSheetId="7" hidden="1">'ULTA HWAS'!$D$5:$D$7</definedName>
    <definedName name="solver_adj" localSheetId="8" hidden="1">'ULTA HWMS'!$E$5:$E$7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lhs1" localSheetId="5" hidden="1">'ULTA Expo Smooth'!$G$5</definedName>
    <definedName name="solver_lhs1" localSheetId="6" hidden="1">'ULTA HLTES'!$D$5:$D$6</definedName>
    <definedName name="solver_lhs1" localSheetId="7" hidden="1">'ULTA HWAS'!$D$5:$D$7</definedName>
    <definedName name="solver_lhs1" localSheetId="8" hidden="1">'ULTA HWMS'!$E$5:$E$7</definedName>
    <definedName name="solver_lhs2" localSheetId="5" hidden="1">'ULTA Expo Smooth'!$G$5</definedName>
    <definedName name="solver_lhs2" localSheetId="6" hidden="1">'ULTA HLTES'!$D$5:$D$6</definedName>
    <definedName name="solver_lhs2" localSheetId="7" hidden="1">'ULTA HWAS'!$D$5:$D$7</definedName>
    <definedName name="solver_lhs2" localSheetId="8" hidden="1">'ULTA HWMS'!$E$5:$E$7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neg" localSheetId="5" hidden="1">2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um" localSheetId="5" hidden="1">2</definedName>
    <definedName name="solver_num" localSheetId="6" hidden="1">2</definedName>
    <definedName name="solver_num" localSheetId="7" hidden="1">2</definedName>
    <definedName name="solver_num" localSheetId="8" hidden="1">2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opt" localSheetId="5" hidden="1">'ULTA Expo Smooth'!$G$6</definedName>
    <definedName name="solver_opt" localSheetId="6" hidden="1">'ULTA HLTES'!$D$8</definedName>
    <definedName name="solver_opt" localSheetId="7" hidden="1">'ULTA HWAS'!$D$8</definedName>
    <definedName name="solver_opt" localSheetId="8" hidden="1">'ULTA HWMS'!$E$8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el1" localSheetId="5" hidden="1">1</definedName>
    <definedName name="solver_rel1" localSheetId="6" hidden="1">1</definedName>
    <definedName name="solver_rel1" localSheetId="7" hidden="1">1</definedName>
    <definedName name="solver_rel1" localSheetId="8" hidden="1">1</definedName>
    <definedName name="solver_rel2" localSheetId="5" hidden="1">3</definedName>
    <definedName name="solver_rel2" localSheetId="6" hidden="1">3</definedName>
    <definedName name="solver_rel2" localSheetId="7" hidden="1">3</definedName>
    <definedName name="solver_rel2" localSheetId="8" hidden="1">3</definedName>
    <definedName name="solver_rhs1" localSheetId="5" hidden="1">1</definedName>
    <definedName name="solver_rhs1" localSheetId="6" hidden="1">1</definedName>
    <definedName name="solver_rhs1" localSheetId="7" hidden="1">1</definedName>
    <definedName name="solver_rhs1" localSheetId="8" hidden="1">1</definedName>
    <definedName name="solver_rhs2" localSheetId="5" hidden="1">0</definedName>
    <definedName name="solver_rhs2" localSheetId="6" hidden="1">0</definedName>
    <definedName name="solver_rhs2" localSheetId="7" hidden="1">0</definedName>
    <definedName name="solver_rhs2" localSheetId="8" hidden="1">0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taxtable">#REF!</definedName>
    <definedName name="Variable_Cost_per_unit">'[1]Base Case'!$B$12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64" i="34" l="1"/>
  <c r="I109" i="34" s="1"/>
  <c r="I77" i="34"/>
  <c r="I82" i="34"/>
  <c r="H82" i="34"/>
  <c r="H98" i="34"/>
  <c r="H64" i="34"/>
  <c r="G64" i="34"/>
  <c r="G77" i="34"/>
  <c r="G109" i="34"/>
  <c r="G82" i="34"/>
  <c r="F82" i="34"/>
  <c r="G115" i="34" s="1"/>
  <c r="F98" i="34"/>
  <c r="F64" i="34"/>
  <c r="E64" i="34"/>
  <c r="E129" i="34"/>
  <c r="E128" i="34"/>
  <c r="F61" i="34"/>
  <c r="G61" i="34"/>
  <c r="H61" i="34"/>
  <c r="I61" i="34"/>
  <c r="E61" i="34"/>
  <c r="E83" i="34"/>
  <c r="E109" i="34"/>
  <c r="G129" i="34"/>
  <c r="H129" i="34"/>
  <c r="I129" i="34"/>
  <c r="F129" i="34"/>
  <c r="F124" i="34"/>
  <c r="G124" i="34"/>
  <c r="H124" i="34"/>
  <c r="I124" i="34"/>
  <c r="F125" i="34"/>
  <c r="G125" i="34"/>
  <c r="H125" i="34"/>
  <c r="I125" i="34"/>
  <c r="E124" i="34"/>
  <c r="F118" i="34"/>
  <c r="G118" i="34"/>
  <c r="H118" i="34"/>
  <c r="I118" i="34"/>
  <c r="F119" i="34"/>
  <c r="G119" i="34"/>
  <c r="H119" i="34"/>
  <c r="I119" i="34"/>
  <c r="F120" i="34"/>
  <c r="G120" i="34"/>
  <c r="H120" i="34"/>
  <c r="I120" i="34"/>
  <c r="F121" i="34"/>
  <c r="G121" i="34"/>
  <c r="H121" i="34"/>
  <c r="I121" i="34"/>
  <c r="E118" i="34"/>
  <c r="F107" i="34"/>
  <c r="G107" i="34"/>
  <c r="H107" i="34"/>
  <c r="I107" i="34"/>
  <c r="F108" i="34"/>
  <c r="G108" i="34"/>
  <c r="H108" i="34"/>
  <c r="I108" i="34"/>
  <c r="F109" i="34"/>
  <c r="F110" i="34"/>
  <c r="G110" i="34"/>
  <c r="H110" i="34"/>
  <c r="I110" i="34"/>
  <c r="F111" i="34"/>
  <c r="G111" i="34"/>
  <c r="H111" i="34"/>
  <c r="I111" i="34"/>
  <c r="F112" i="34"/>
  <c r="G112" i="34"/>
  <c r="H112" i="34"/>
  <c r="I112" i="34"/>
  <c r="F113" i="34"/>
  <c r="G113" i="34"/>
  <c r="H113" i="34"/>
  <c r="I113" i="34"/>
  <c r="F114" i="34"/>
  <c r="G114" i="34"/>
  <c r="H114" i="34"/>
  <c r="I114" i="34"/>
  <c r="I115" i="34"/>
  <c r="F106" i="34"/>
  <c r="G106" i="34"/>
  <c r="H106" i="34"/>
  <c r="I106" i="34"/>
  <c r="E106" i="34"/>
  <c r="E21" i="34"/>
  <c r="F21" i="34"/>
  <c r="E105" i="34"/>
  <c r="F84" i="34"/>
  <c r="G84" i="34"/>
  <c r="H84" i="34"/>
  <c r="I84" i="34"/>
  <c r="E84" i="34"/>
  <c r="D90" i="34"/>
  <c r="E87" i="34"/>
  <c r="F87" i="34" s="1"/>
  <c r="D76" i="34"/>
  <c r="I21" i="34"/>
  <c r="H21" i="34"/>
  <c r="G21" i="34"/>
  <c r="D31" i="34"/>
  <c r="E95" i="34"/>
  <c r="F95" i="34" s="1"/>
  <c r="G95" i="34" s="1"/>
  <c r="H95" i="34" s="1"/>
  <c r="I95" i="34" s="1"/>
  <c r="E94" i="34"/>
  <c r="F94" i="34" s="1"/>
  <c r="G94" i="34" s="1"/>
  <c r="H94" i="34" s="1"/>
  <c r="I94" i="34" s="1"/>
  <c r="E93" i="34"/>
  <c r="F93" i="34" s="1"/>
  <c r="E89" i="34"/>
  <c r="F89" i="34" s="1"/>
  <c r="G89" i="34" s="1"/>
  <c r="H89" i="34" s="1"/>
  <c r="I89" i="34" s="1"/>
  <c r="E81" i="34"/>
  <c r="F81" i="34" s="1"/>
  <c r="G81" i="34" s="1"/>
  <c r="H81" i="34" s="1"/>
  <c r="I81" i="34" s="1"/>
  <c r="E96" i="34"/>
  <c r="F96" i="34" s="1"/>
  <c r="G96" i="34" s="1"/>
  <c r="H96" i="34" s="1"/>
  <c r="I96" i="34" s="1"/>
  <c r="D30" i="34"/>
  <c r="D28" i="34"/>
  <c r="D27" i="34"/>
  <c r="E62" i="34"/>
  <c r="E79" i="34" s="1"/>
  <c r="E111" i="34" s="1"/>
  <c r="D26" i="34"/>
  <c r="E26" i="34" s="1"/>
  <c r="E25" i="34"/>
  <c r="F25" i="34" s="1"/>
  <c r="D168" i="34"/>
  <c r="D162" i="34"/>
  <c r="E18" i="34"/>
  <c r="E69" i="34" s="1"/>
  <c r="F105" i="34" s="1"/>
  <c r="D141" i="34"/>
  <c r="D142" i="34" s="1"/>
  <c r="F7" i="45"/>
  <c r="F6" i="45"/>
  <c r="E6" i="45"/>
  <c r="D161" i="34"/>
  <c r="D97" i="34"/>
  <c r="D23" i="34" s="1"/>
  <c r="D85" i="34"/>
  <c r="D17" i="34"/>
  <c r="I12" i="34"/>
  <c r="H12" i="34"/>
  <c r="G12" i="34"/>
  <c r="F12" i="34"/>
  <c r="E12" i="34"/>
  <c r="E48" i="34" s="1"/>
  <c r="E80" i="34" s="1"/>
  <c r="E112" i="34" s="1"/>
  <c r="I14" i="34"/>
  <c r="I52" i="34" s="1"/>
  <c r="I83" i="34" s="1"/>
  <c r="H14" i="34"/>
  <c r="H52" i="34" s="1"/>
  <c r="H83" i="34" s="1"/>
  <c r="G14" i="34"/>
  <c r="G52" i="34" s="1"/>
  <c r="G83" i="34" s="1"/>
  <c r="F14" i="34"/>
  <c r="F52" i="34" s="1"/>
  <c r="F83" i="34" s="1"/>
  <c r="E14" i="34"/>
  <c r="E52" i="34" s="1"/>
  <c r="E88" i="36" a="1"/>
  <c r="E88" i="36" s="1"/>
  <c r="F88" i="36" a="1"/>
  <c r="F88" i="36" s="1"/>
  <c r="D15" i="34"/>
  <c r="E15" i="34" s="1"/>
  <c r="E54" i="34" s="1"/>
  <c r="D14" i="34"/>
  <c r="D13" i="34"/>
  <c r="D12" i="34"/>
  <c r="D11" i="34"/>
  <c r="H115" i="34" l="1"/>
  <c r="H109" i="34"/>
  <c r="D91" i="34"/>
  <c r="D98" i="34" s="1"/>
  <c r="E125" i="34"/>
  <c r="E113" i="34"/>
  <c r="E108" i="34"/>
  <c r="G87" i="34"/>
  <c r="G93" i="34"/>
  <c r="H93" i="34" s="1"/>
  <c r="I93" i="34" s="1"/>
  <c r="F62" i="34"/>
  <c r="D167" i="34"/>
  <c r="E72" i="34"/>
  <c r="G25" i="34"/>
  <c r="F72" i="34"/>
  <c r="I18" i="34"/>
  <c r="F15" i="34"/>
  <c r="F54" i="34" s="1"/>
  <c r="I15" i="34"/>
  <c r="I54" i="34" s="1"/>
  <c r="H15" i="34"/>
  <c r="H54" i="34" s="1"/>
  <c r="G15" i="34"/>
  <c r="G54" i="34" s="1"/>
  <c r="D153" i="34" l="1"/>
  <c r="G62" i="34"/>
  <c r="H87" i="34"/>
  <c r="F79" i="34"/>
  <c r="H25" i="34"/>
  <c r="G72" i="34"/>
  <c r="H62" i="34" l="1"/>
  <c r="G79" i="34"/>
  <c r="I87" i="34"/>
  <c r="I25" i="34"/>
  <c r="H72" i="34"/>
  <c r="I72" i="34" l="1"/>
  <c r="I62" i="34"/>
  <c r="H79" i="34"/>
  <c r="I79" i="34" l="1"/>
  <c r="F69" i="34" l="1"/>
  <c r="G69" i="34"/>
  <c r="H69" i="34"/>
  <c r="I69" i="34"/>
  <c r="I105" i="34" l="1"/>
  <c r="H105" i="34"/>
  <c r="G105" i="34"/>
  <c r="I10" i="34" l="1"/>
  <c r="H10" i="34"/>
  <c r="G10" i="34"/>
  <c r="F10" i="34"/>
  <c r="E10" i="34"/>
  <c r="E44" i="34" l="1"/>
  <c r="F44" i="34"/>
  <c r="H44" i="34"/>
  <c r="G44" i="34"/>
  <c r="I44" i="34"/>
  <c r="H161" i="34" l="1"/>
  <c r="I161" i="34"/>
  <c r="G161" i="34"/>
  <c r="F161" i="34"/>
  <c r="E164" i="34"/>
  <c r="D44" i="34"/>
  <c r="E161" i="34" s="1"/>
  <c r="E87" i="46"/>
  <c r="F87" i="46" s="1"/>
  <c r="D87" i="46"/>
  <c r="H88" i="45"/>
  <c r="D17" i="42"/>
  <c r="D16" i="42"/>
  <c r="B6" i="46"/>
  <c r="B7" i="46"/>
  <c r="B8" i="46"/>
  <c r="B9" i="46"/>
  <c r="B10" i="46"/>
  <c r="B11" i="46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5" i="46"/>
  <c r="B6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19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4" i="45"/>
  <c r="B35" i="45"/>
  <c r="B36" i="45"/>
  <c r="B37" i="45"/>
  <c r="B38" i="45"/>
  <c r="B39" i="45"/>
  <c r="B40" i="45"/>
  <c r="B41" i="45"/>
  <c r="B42" i="45"/>
  <c r="B43" i="45"/>
  <c r="B44" i="45"/>
  <c r="B45" i="45"/>
  <c r="B46" i="45"/>
  <c r="B47" i="45"/>
  <c r="B48" i="45"/>
  <c r="B49" i="45"/>
  <c r="B50" i="45"/>
  <c r="B51" i="45"/>
  <c r="B52" i="45"/>
  <c r="B53" i="45"/>
  <c r="B54" i="45"/>
  <c r="B55" i="45"/>
  <c r="B56" i="45"/>
  <c r="B57" i="45"/>
  <c r="B58" i="45"/>
  <c r="B59" i="45"/>
  <c r="B60" i="45"/>
  <c r="B61" i="45"/>
  <c r="B62" i="45"/>
  <c r="B63" i="45"/>
  <c r="B64" i="45"/>
  <c r="B65" i="45"/>
  <c r="B66" i="45"/>
  <c r="B67" i="45"/>
  <c r="B68" i="45"/>
  <c r="B69" i="45"/>
  <c r="B70" i="45"/>
  <c r="B71" i="45"/>
  <c r="B72" i="45"/>
  <c r="B73" i="45"/>
  <c r="B74" i="45"/>
  <c r="B75" i="45"/>
  <c r="B76" i="45"/>
  <c r="B77" i="45"/>
  <c r="B78" i="45"/>
  <c r="B79" i="45"/>
  <c r="B80" i="45"/>
  <c r="B81" i="45"/>
  <c r="B82" i="45"/>
  <c r="B83" i="45"/>
  <c r="B84" i="45"/>
  <c r="B85" i="45"/>
  <c r="B86" i="45"/>
  <c r="B87" i="45"/>
  <c r="B5" i="45"/>
  <c r="B14" i="43"/>
  <c r="B15" i="43"/>
  <c r="B16" i="43"/>
  <c r="B17" i="43"/>
  <c r="B18" i="43"/>
  <c r="B19" i="43"/>
  <c r="B20" i="43"/>
  <c r="B21" i="43"/>
  <c r="B22" i="43"/>
  <c r="B23" i="43"/>
  <c r="B24" i="43"/>
  <c r="B25" i="43"/>
  <c r="B26" i="43"/>
  <c r="B27" i="43"/>
  <c r="B28" i="43"/>
  <c r="B29" i="43"/>
  <c r="B30" i="43"/>
  <c r="B31" i="43"/>
  <c r="B32" i="43"/>
  <c r="B33" i="43"/>
  <c r="B34" i="43"/>
  <c r="B35" i="43"/>
  <c r="B36" i="43"/>
  <c r="B37" i="43"/>
  <c r="B38" i="43"/>
  <c r="B39" i="43"/>
  <c r="B40" i="43"/>
  <c r="B41" i="43"/>
  <c r="B42" i="43"/>
  <c r="B43" i="43"/>
  <c r="B44" i="43"/>
  <c r="B45" i="43"/>
  <c r="B46" i="43"/>
  <c r="B47" i="43"/>
  <c r="B48" i="43"/>
  <c r="B49" i="43"/>
  <c r="B50" i="43"/>
  <c r="B51" i="43"/>
  <c r="B52" i="43"/>
  <c r="B53" i="43"/>
  <c r="B54" i="43"/>
  <c r="B55" i="43"/>
  <c r="B56" i="43"/>
  <c r="B57" i="43"/>
  <c r="B58" i="43"/>
  <c r="B59" i="43"/>
  <c r="B60" i="43"/>
  <c r="B61" i="43"/>
  <c r="B62" i="43"/>
  <c r="B63" i="43"/>
  <c r="B64" i="43"/>
  <c r="B65" i="43"/>
  <c r="B66" i="43"/>
  <c r="B67" i="43"/>
  <c r="B68" i="43"/>
  <c r="B69" i="43"/>
  <c r="B70" i="43"/>
  <c r="B71" i="43"/>
  <c r="B72" i="43"/>
  <c r="B73" i="43"/>
  <c r="B74" i="43"/>
  <c r="B75" i="43"/>
  <c r="B76" i="43"/>
  <c r="B77" i="43"/>
  <c r="B78" i="43"/>
  <c r="B79" i="43"/>
  <c r="B80" i="43"/>
  <c r="B81" i="43"/>
  <c r="B82" i="43"/>
  <c r="B83" i="43"/>
  <c r="B84" i="43"/>
  <c r="B85" i="43"/>
  <c r="B86" i="43"/>
  <c r="B87" i="43"/>
  <c r="B88" i="43"/>
  <c r="B89" i="43"/>
  <c r="B90" i="43"/>
  <c r="B91" i="43"/>
  <c r="B92" i="43"/>
  <c r="B93" i="43"/>
  <c r="B94" i="43"/>
  <c r="B95" i="43"/>
  <c r="B13" i="43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49" i="42"/>
  <c r="B50" i="42"/>
  <c r="B51" i="42"/>
  <c r="B52" i="42"/>
  <c r="B53" i="42"/>
  <c r="B54" i="42"/>
  <c r="B55" i="42"/>
  <c r="B56" i="42"/>
  <c r="B57" i="42"/>
  <c r="B58" i="42"/>
  <c r="B59" i="42"/>
  <c r="B60" i="42"/>
  <c r="B61" i="42"/>
  <c r="B62" i="42"/>
  <c r="B63" i="42"/>
  <c r="B64" i="42"/>
  <c r="B65" i="42"/>
  <c r="B66" i="42"/>
  <c r="B67" i="42"/>
  <c r="B68" i="42"/>
  <c r="B69" i="42"/>
  <c r="B70" i="42"/>
  <c r="B71" i="42"/>
  <c r="B72" i="42"/>
  <c r="B73" i="42"/>
  <c r="B74" i="42"/>
  <c r="B75" i="42"/>
  <c r="B76" i="42"/>
  <c r="B77" i="42"/>
  <c r="B78" i="42"/>
  <c r="B79" i="42"/>
  <c r="B80" i="42"/>
  <c r="B81" i="42"/>
  <c r="B82" i="42"/>
  <c r="B83" i="42"/>
  <c r="B84" i="42"/>
  <c r="B85" i="42"/>
  <c r="B86" i="42"/>
  <c r="B87" i="42"/>
  <c r="B88" i="42"/>
  <c r="B89" i="42"/>
  <c r="B90" i="42"/>
  <c r="B91" i="42"/>
  <c r="B92" i="42"/>
  <c r="B93" i="42"/>
  <c r="B94" i="42"/>
  <c r="B95" i="42"/>
  <c r="B13" i="42"/>
  <c r="B13" i="41"/>
  <c r="B14" i="41"/>
  <c r="B15" i="41"/>
  <c r="B16" i="41"/>
  <c r="B17" i="41"/>
  <c r="B18" i="41"/>
  <c r="B19" i="41"/>
  <c r="B20" i="41"/>
  <c r="B21" i="41"/>
  <c r="B22" i="41"/>
  <c r="B23" i="41"/>
  <c r="B24" i="41"/>
  <c r="B25" i="41"/>
  <c r="B26" i="41"/>
  <c r="B27" i="41"/>
  <c r="B28" i="41"/>
  <c r="B29" i="41"/>
  <c r="B30" i="41"/>
  <c r="B31" i="41"/>
  <c r="B32" i="41"/>
  <c r="B33" i="41"/>
  <c r="B34" i="41"/>
  <c r="B35" i="41"/>
  <c r="B36" i="41"/>
  <c r="B37" i="41"/>
  <c r="B38" i="41"/>
  <c r="B39" i="41"/>
  <c r="B40" i="41"/>
  <c r="B41" i="41"/>
  <c r="B42" i="41"/>
  <c r="B43" i="41"/>
  <c r="B44" i="41"/>
  <c r="B45" i="41"/>
  <c r="B46" i="41"/>
  <c r="B47" i="41"/>
  <c r="B48" i="41"/>
  <c r="B49" i="41"/>
  <c r="B50" i="41"/>
  <c r="B51" i="41"/>
  <c r="B52" i="41"/>
  <c r="B53" i="41"/>
  <c r="B54" i="41"/>
  <c r="B55" i="41"/>
  <c r="B56" i="41"/>
  <c r="B57" i="41"/>
  <c r="B58" i="41"/>
  <c r="B59" i="41"/>
  <c r="B60" i="41"/>
  <c r="B61" i="41"/>
  <c r="B62" i="41"/>
  <c r="B63" i="41"/>
  <c r="B64" i="41"/>
  <c r="B65" i="41"/>
  <c r="B66" i="41"/>
  <c r="B67" i="41"/>
  <c r="B68" i="41"/>
  <c r="B69" i="41"/>
  <c r="B70" i="41"/>
  <c r="B71" i="41"/>
  <c r="B72" i="41"/>
  <c r="B73" i="41"/>
  <c r="B74" i="41"/>
  <c r="B75" i="41"/>
  <c r="B76" i="41"/>
  <c r="B77" i="41"/>
  <c r="B78" i="41"/>
  <c r="B79" i="41"/>
  <c r="B80" i="41"/>
  <c r="B81" i="41"/>
  <c r="B82" i="41"/>
  <c r="B83" i="41"/>
  <c r="B84" i="41"/>
  <c r="B85" i="41"/>
  <c r="B86" i="41"/>
  <c r="B87" i="41"/>
  <c r="B88" i="41"/>
  <c r="B89" i="41"/>
  <c r="B90" i="41"/>
  <c r="B91" i="41"/>
  <c r="B92" i="41"/>
  <c r="B93" i="41"/>
  <c r="B94" i="41"/>
  <c r="B12" i="41"/>
  <c r="B6" i="40"/>
  <c r="B7" i="40"/>
  <c r="B8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B24" i="40"/>
  <c r="B25" i="40"/>
  <c r="B26" i="40"/>
  <c r="B27" i="40"/>
  <c r="B28" i="40"/>
  <c r="B29" i="40"/>
  <c r="B30" i="40"/>
  <c r="B31" i="40"/>
  <c r="B32" i="40"/>
  <c r="B33" i="40"/>
  <c r="B34" i="40"/>
  <c r="B35" i="40"/>
  <c r="B36" i="40"/>
  <c r="B37" i="40"/>
  <c r="B38" i="40"/>
  <c r="B39" i="40"/>
  <c r="B40" i="40"/>
  <c r="B41" i="40"/>
  <c r="B42" i="40"/>
  <c r="B43" i="40"/>
  <c r="B44" i="40"/>
  <c r="B45" i="40"/>
  <c r="B46" i="40"/>
  <c r="B47" i="40"/>
  <c r="B48" i="40"/>
  <c r="B49" i="40"/>
  <c r="B50" i="40"/>
  <c r="B51" i="40"/>
  <c r="B52" i="40"/>
  <c r="B53" i="40"/>
  <c r="B54" i="40"/>
  <c r="B55" i="40"/>
  <c r="B56" i="40"/>
  <c r="B57" i="40"/>
  <c r="B58" i="40"/>
  <c r="B59" i="40"/>
  <c r="B60" i="40"/>
  <c r="B61" i="40"/>
  <c r="B62" i="40"/>
  <c r="B63" i="40"/>
  <c r="B64" i="40"/>
  <c r="B65" i="40"/>
  <c r="B66" i="40"/>
  <c r="B67" i="40"/>
  <c r="B68" i="40"/>
  <c r="B69" i="40"/>
  <c r="B70" i="40"/>
  <c r="B71" i="40"/>
  <c r="B72" i="40"/>
  <c r="B73" i="40"/>
  <c r="B74" i="40"/>
  <c r="B75" i="40"/>
  <c r="B76" i="40"/>
  <c r="B77" i="40"/>
  <c r="B78" i="40"/>
  <c r="B79" i="40"/>
  <c r="B80" i="40"/>
  <c r="B81" i="40"/>
  <c r="B82" i="40"/>
  <c r="B83" i="40"/>
  <c r="B84" i="40"/>
  <c r="B85" i="40"/>
  <c r="B86" i="40"/>
  <c r="B87" i="40"/>
  <c r="B5" i="40"/>
  <c r="B6" i="39"/>
  <c r="B7" i="39"/>
  <c r="B8" i="39"/>
  <c r="B9" i="39"/>
  <c r="B10" i="39"/>
  <c r="B11" i="39"/>
  <c r="B12" i="39"/>
  <c r="B13" i="39"/>
  <c r="B14" i="39"/>
  <c r="B15" i="39"/>
  <c r="B16" i="39"/>
  <c r="B17" i="39"/>
  <c r="B18" i="39"/>
  <c r="B19" i="39"/>
  <c r="B20" i="39"/>
  <c r="B21" i="39"/>
  <c r="B22" i="39"/>
  <c r="B23" i="39"/>
  <c r="B24" i="39"/>
  <c r="B25" i="39"/>
  <c r="B26" i="39"/>
  <c r="B27" i="39"/>
  <c r="B28" i="39"/>
  <c r="B29" i="39"/>
  <c r="B30" i="39"/>
  <c r="B31" i="39"/>
  <c r="B32" i="39"/>
  <c r="B33" i="39"/>
  <c r="B34" i="39"/>
  <c r="B35" i="39"/>
  <c r="B36" i="39"/>
  <c r="B37" i="39"/>
  <c r="B38" i="39"/>
  <c r="B39" i="39"/>
  <c r="B40" i="39"/>
  <c r="B41" i="39"/>
  <c r="B42" i="39"/>
  <c r="B43" i="39"/>
  <c r="B44" i="39"/>
  <c r="B45" i="39"/>
  <c r="B46" i="39"/>
  <c r="B47" i="39"/>
  <c r="B48" i="39"/>
  <c r="B49" i="39"/>
  <c r="B50" i="39"/>
  <c r="B51" i="39"/>
  <c r="B52" i="39"/>
  <c r="B53" i="39"/>
  <c r="B54" i="39"/>
  <c r="B55" i="39"/>
  <c r="B56" i="39"/>
  <c r="B57" i="39"/>
  <c r="B58" i="39"/>
  <c r="B59" i="39"/>
  <c r="B60" i="39"/>
  <c r="B61" i="39"/>
  <c r="B62" i="39"/>
  <c r="B63" i="39"/>
  <c r="B64" i="39"/>
  <c r="B65" i="39"/>
  <c r="B66" i="39"/>
  <c r="B67" i="39"/>
  <c r="B68" i="39"/>
  <c r="B69" i="39"/>
  <c r="B70" i="39"/>
  <c r="B71" i="39"/>
  <c r="B72" i="39"/>
  <c r="B73" i="39"/>
  <c r="B74" i="39"/>
  <c r="B75" i="39"/>
  <c r="B76" i="39"/>
  <c r="B77" i="39"/>
  <c r="B78" i="39"/>
  <c r="B79" i="39"/>
  <c r="B80" i="39"/>
  <c r="B81" i="39"/>
  <c r="B82" i="39"/>
  <c r="B83" i="39"/>
  <c r="B84" i="39"/>
  <c r="B85" i="39"/>
  <c r="B86" i="39"/>
  <c r="B87" i="39"/>
  <c r="B5" i="39"/>
  <c r="B7" i="38"/>
  <c r="B8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B35" i="38"/>
  <c r="B36" i="38"/>
  <c r="B37" i="38"/>
  <c r="B38" i="38"/>
  <c r="B39" i="38"/>
  <c r="B40" i="38"/>
  <c r="B41" i="38"/>
  <c r="B42" i="38"/>
  <c r="B43" i="38"/>
  <c r="B44" i="38"/>
  <c r="B45" i="38"/>
  <c r="B46" i="38"/>
  <c r="B47" i="38"/>
  <c r="B48" i="38"/>
  <c r="B49" i="38"/>
  <c r="B50" i="38"/>
  <c r="B51" i="38"/>
  <c r="B52" i="38"/>
  <c r="B53" i="38"/>
  <c r="B54" i="38"/>
  <c r="B55" i="38"/>
  <c r="B56" i="38"/>
  <c r="B57" i="38"/>
  <c r="B58" i="38"/>
  <c r="B59" i="38"/>
  <c r="B60" i="38"/>
  <c r="B61" i="38"/>
  <c r="B62" i="38"/>
  <c r="B63" i="38"/>
  <c r="B64" i="38"/>
  <c r="B65" i="38"/>
  <c r="B66" i="38"/>
  <c r="B67" i="38"/>
  <c r="B68" i="38"/>
  <c r="B69" i="38"/>
  <c r="B70" i="38"/>
  <c r="B71" i="38"/>
  <c r="B72" i="38"/>
  <c r="B73" i="38"/>
  <c r="B74" i="38"/>
  <c r="B75" i="38"/>
  <c r="B76" i="38"/>
  <c r="B77" i="38"/>
  <c r="B78" i="38"/>
  <c r="B79" i="38"/>
  <c r="B80" i="38"/>
  <c r="B81" i="38"/>
  <c r="B82" i="38"/>
  <c r="B83" i="38"/>
  <c r="B84" i="38"/>
  <c r="B85" i="38"/>
  <c r="B86" i="38"/>
  <c r="B87" i="38"/>
  <c r="B88" i="38"/>
  <c r="B6" i="38"/>
  <c r="B16" i="36"/>
  <c r="B6" i="36"/>
  <c r="B7" i="36"/>
  <c r="B8" i="36"/>
  <c r="B9" i="36"/>
  <c r="B10" i="36"/>
  <c r="B11" i="36"/>
  <c r="B12" i="36"/>
  <c r="B13" i="36"/>
  <c r="B14" i="36"/>
  <c r="B15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82" i="36"/>
  <c r="B83" i="36"/>
  <c r="B84" i="36"/>
  <c r="B85" i="36"/>
  <c r="B86" i="36"/>
  <c r="B87" i="36"/>
  <c r="B5" i="36"/>
  <c r="F88" i="46"/>
  <c r="E88" i="46"/>
  <c r="D88" i="46"/>
  <c r="D164" i="34" l="1"/>
  <c r="D138" i="34"/>
  <c r="D139" i="34" s="1"/>
  <c r="D143" i="34"/>
  <c r="D157" i="34" s="1"/>
  <c r="D144" i="34"/>
  <c r="C75" i="34"/>
  <c r="C84" i="34"/>
  <c r="C65" i="34"/>
  <c r="C83" i="34"/>
  <c r="C89" i="34"/>
  <c r="C62" i="34"/>
  <c r="C93" i="34"/>
  <c r="C63" i="34"/>
  <c r="C64" i="34"/>
  <c r="C94" i="34"/>
  <c r="C96" i="34"/>
  <c r="C72" i="34"/>
  <c r="C73" i="34"/>
  <c r="E73" i="34" s="1"/>
  <c r="E119" i="34" s="1"/>
  <c r="C87" i="34"/>
  <c r="C80" i="34"/>
  <c r="C71" i="34"/>
  <c r="E71" i="34" s="1"/>
  <c r="E120" i="34" s="1"/>
  <c r="C81" i="34"/>
  <c r="C82" i="34"/>
  <c r="C79" i="34"/>
  <c r="C69" i="34"/>
  <c r="C88" i="34"/>
  <c r="E88" i="34" s="1"/>
  <c r="C97" i="34"/>
  <c r="C70" i="34"/>
  <c r="C95" i="34"/>
  <c r="C85" i="34"/>
  <c r="C91" i="34"/>
  <c r="C98" i="34"/>
  <c r="G88" i="36" a="1"/>
  <c r="G88" i="36" s="1"/>
  <c r="I88" i="36" a="1"/>
  <c r="I88" i="36" s="1"/>
  <c r="H88" i="36" a="1"/>
  <c r="H88" i="36" s="1"/>
  <c r="C54" i="34"/>
  <c r="C45" i="34"/>
  <c r="D10" i="34"/>
  <c r="C50" i="34"/>
  <c r="C52" i="34"/>
  <c r="C44" i="34"/>
  <c r="C48" i="34"/>
  <c r="C68" i="34"/>
  <c r="F17" i="42"/>
  <c r="E114" i="34" l="1"/>
  <c r="E90" i="34"/>
  <c r="E63" i="34"/>
  <c r="E107" i="34" s="1"/>
  <c r="E97" i="34"/>
  <c r="F75" i="34"/>
  <c r="E75" i="34"/>
  <c r="E121" i="34" s="1"/>
  <c r="I75" i="34"/>
  <c r="G75" i="34"/>
  <c r="H75" i="34"/>
  <c r="I48" i="34"/>
  <c r="F48" i="34"/>
  <c r="H48" i="34"/>
  <c r="G48" i="34"/>
  <c r="E13" i="34"/>
  <c r="E50" i="34" s="1"/>
  <c r="G13" i="34"/>
  <c r="G50" i="34" s="1"/>
  <c r="F13" i="34"/>
  <c r="F50" i="34" s="1"/>
  <c r="I13" i="34"/>
  <c r="I50" i="34" s="1"/>
  <c r="H13" i="34"/>
  <c r="H50" i="34" s="1"/>
  <c r="F73" i="34"/>
  <c r="G73" i="34"/>
  <c r="H73" i="34"/>
  <c r="I73" i="34"/>
  <c r="F71" i="34"/>
  <c r="G71" i="34"/>
  <c r="H71" i="34"/>
  <c r="I71" i="34"/>
  <c r="F88" i="34"/>
  <c r="G88" i="34"/>
  <c r="H88" i="34"/>
  <c r="I88" i="34"/>
  <c r="G63" i="34"/>
  <c r="F63" i="34"/>
  <c r="H63" i="34"/>
  <c r="I63" i="34"/>
  <c r="E17" i="34"/>
  <c r="E19" i="34" s="1"/>
  <c r="I17" i="34"/>
  <c r="H17" i="34"/>
  <c r="G17" i="34"/>
  <c r="F17" i="34"/>
  <c r="E11" i="34"/>
  <c r="E45" i="34" s="1"/>
  <c r="I11" i="34"/>
  <c r="H11" i="34"/>
  <c r="G11" i="34"/>
  <c r="F11" i="34"/>
  <c r="D46" i="34"/>
  <c r="D163" i="34" s="1"/>
  <c r="C6" i="46"/>
  <c r="C7" i="46"/>
  <c r="C8" i="46"/>
  <c r="C9" i="46"/>
  <c r="C10" i="46"/>
  <c r="C11" i="46"/>
  <c r="C12" i="46"/>
  <c r="C13" i="46"/>
  <c r="C14" i="46"/>
  <c r="C15" i="46"/>
  <c r="C16" i="46"/>
  <c r="C17" i="46"/>
  <c r="C18" i="46"/>
  <c r="C19" i="46"/>
  <c r="C20" i="46"/>
  <c r="C21" i="46"/>
  <c r="C22" i="46"/>
  <c r="C23" i="46"/>
  <c r="C24" i="46"/>
  <c r="C25" i="46"/>
  <c r="C26" i="46"/>
  <c r="C27" i="46"/>
  <c r="C28" i="46"/>
  <c r="C29" i="46"/>
  <c r="C30" i="46"/>
  <c r="C31" i="46"/>
  <c r="C32" i="46"/>
  <c r="C33" i="46"/>
  <c r="C34" i="46"/>
  <c r="C35" i="46"/>
  <c r="C36" i="46"/>
  <c r="C37" i="46"/>
  <c r="C38" i="46"/>
  <c r="C39" i="46"/>
  <c r="C40" i="46"/>
  <c r="C41" i="46"/>
  <c r="C42" i="46"/>
  <c r="C43" i="46"/>
  <c r="C44" i="46"/>
  <c r="C45" i="46"/>
  <c r="C46" i="46"/>
  <c r="C47" i="46"/>
  <c r="C48" i="46"/>
  <c r="C49" i="46"/>
  <c r="C50" i="46"/>
  <c r="C51" i="46"/>
  <c r="C52" i="46"/>
  <c r="C53" i="46"/>
  <c r="C54" i="46"/>
  <c r="C55" i="46"/>
  <c r="C56" i="46"/>
  <c r="C57" i="46"/>
  <c r="C58" i="46"/>
  <c r="C59" i="46"/>
  <c r="C60" i="46"/>
  <c r="C61" i="46"/>
  <c r="C62" i="46"/>
  <c r="C63" i="46"/>
  <c r="C64" i="46"/>
  <c r="C65" i="46"/>
  <c r="C66" i="46"/>
  <c r="C67" i="46"/>
  <c r="C68" i="46"/>
  <c r="C69" i="46"/>
  <c r="C70" i="46"/>
  <c r="C71" i="46"/>
  <c r="C72" i="46"/>
  <c r="C73" i="46"/>
  <c r="C74" i="46"/>
  <c r="C75" i="46"/>
  <c r="C76" i="46"/>
  <c r="C77" i="46"/>
  <c r="C78" i="46"/>
  <c r="C79" i="46"/>
  <c r="C80" i="46"/>
  <c r="C81" i="46"/>
  <c r="C82" i="46"/>
  <c r="C83" i="46"/>
  <c r="C84" i="46"/>
  <c r="C85" i="46"/>
  <c r="C86" i="46"/>
  <c r="C87" i="46"/>
  <c r="C5" i="46"/>
  <c r="H86" i="45"/>
  <c r="G6" i="45"/>
  <c r="G7" i="45"/>
  <c r="G8" i="45"/>
  <c r="G9" i="45"/>
  <c r="G10" i="45"/>
  <c r="G11" i="45"/>
  <c r="G12" i="45"/>
  <c r="G13" i="45"/>
  <c r="G14" i="45"/>
  <c r="G15" i="45"/>
  <c r="G16" i="45"/>
  <c r="G17" i="45"/>
  <c r="G18" i="45"/>
  <c r="G19" i="45"/>
  <c r="G20" i="45"/>
  <c r="G21" i="45"/>
  <c r="G22" i="45"/>
  <c r="G23" i="45"/>
  <c r="G24" i="45"/>
  <c r="G25" i="45"/>
  <c r="G26" i="45"/>
  <c r="G27" i="45"/>
  <c r="G28" i="45"/>
  <c r="G29" i="45"/>
  <c r="G30" i="45"/>
  <c r="G31" i="45"/>
  <c r="G32" i="45"/>
  <c r="G33" i="45"/>
  <c r="G34" i="45"/>
  <c r="G35" i="45"/>
  <c r="G36" i="45"/>
  <c r="G37" i="45"/>
  <c r="G38" i="45"/>
  <c r="G39" i="45"/>
  <c r="G40" i="45"/>
  <c r="G41" i="45"/>
  <c r="G42" i="45"/>
  <c r="G43" i="45"/>
  <c r="G44" i="45"/>
  <c r="G45" i="45"/>
  <c r="G46" i="45"/>
  <c r="G47" i="45"/>
  <c r="G48" i="45"/>
  <c r="G49" i="45"/>
  <c r="G50" i="45"/>
  <c r="G51" i="45"/>
  <c r="G52" i="45"/>
  <c r="G53" i="45"/>
  <c r="G54" i="45"/>
  <c r="G55" i="45"/>
  <c r="G56" i="45"/>
  <c r="G57" i="45"/>
  <c r="G58" i="45"/>
  <c r="G59" i="45"/>
  <c r="G60" i="45"/>
  <c r="G61" i="45"/>
  <c r="G62" i="45"/>
  <c r="G63" i="45"/>
  <c r="G64" i="45"/>
  <c r="G65" i="45"/>
  <c r="G66" i="45"/>
  <c r="G67" i="45"/>
  <c r="G68" i="45"/>
  <c r="G69" i="45"/>
  <c r="G70" i="45"/>
  <c r="G71" i="45"/>
  <c r="G72" i="45"/>
  <c r="G73" i="45"/>
  <c r="G74" i="45"/>
  <c r="G75" i="45"/>
  <c r="G76" i="45"/>
  <c r="G77" i="45"/>
  <c r="G78" i="45"/>
  <c r="G79" i="45"/>
  <c r="G80" i="45"/>
  <c r="G81" i="45"/>
  <c r="G82" i="45"/>
  <c r="G83" i="45"/>
  <c r="G84" i="45"/>
  <c r="G85" i="45"/>
  <c r="G86" i="45"/>
  <c r="G87" i="45"/>
  <c r="G5" i="45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13" i="43"/>
  <c r="C14" i="42"/>
  <c r="C15" i="42"/>
  <c r="C16" i="42"/>
  <c r="C17" i="42"/>
  <c r="C18" i="42"/>
  <c r="C19" i="42"/>
  <c r="C20" i="42"/>
  <c r="C21" i="42"/>
  <c r="C22" i="42"/>
  <c r="C23" i="42"/>
  <c r="C24" i="42"/>
  <c r="C25" i="42"/>
  <c r="C26" i="42"/>
  <c r="C27" i="42"/>
  <c r="C28" i="42"/>
  <c r="C29" i="42"/>
  <c r="C30" i="42"/>
  <c r="C31" i="42"/>
  <c r="C32" i="42"/>
  <c r="C33" i="42"/>
  <c r="C34" i="42"/>
  <c r="C35" i="42"/>
  <c r="C36" i="42"/>
  <c r="C37" i="42"/>
  <c r="C38" i="42"/>
  <c r="C39" i="42"/>
  <c r="C40" i="42"/>
  <c r="C41" i="42"/>
  <c r="C42" i="42"/>
  <c r="C43" i="42"/>
  <c r="C44" i="42"/>
  <c r="C45" i="42"/>
  <c r="C46" i="42"/>
  <c r="C47" i="42"/>
  <c r="C48" i="42"/>
  <c r="C49" i="42"/>
  <c r="C50" i="42"/>
  <c r="C51" i="42"/>
  <c r="C52" i="42"/>
  <c r="C53" i="42"/>
  <c r="C54" i="42"/>
  <c r="C55" i="42"/>
  <c r="C56" i="42"/>
  <c r="C57" i="42"/>
  <c r="C58" i="42"/>
  <c r="C59" i="42"/>
  <c r="C60" i="42"/>
  <c r="C61" i="42"/>
  <c r="C62" i="42"/>
  <c r="C63" i="42"/>
  <c r="C64" i="42"/>
  <c r="C65" i="42"/>
  <c r="C66" i="42"/>
  <c r="C67" i="42"/>
  <c r="C68" i="42"/>
  <c r="C69" i="42"/>
  <c r="C70" i="42"/>
  <c r="C71" i="42"/>
  <c r="C72" i="42"/>
  <c r="C73" i="42"/>
  <c r="C74" i="42"/>
  <c r="C75" i="42"/>
  <c r="C76" i="42"/>
  <c r="C77" i="42"/>
  <c r="C78" i="42"/>
  <c r="C79" i="42"/>
  <c r="C80" i="42"/>
  <c r="C81" i="42"/>
  <c r="C82" i="42"/>
  <c r="C83" i="42"/>
  <c r="C84" i="42"/>
  <c r="C85" i="42"/>
  <c r="C86" i="42"/>
  <c r="C87" i="42"/>
  <c r="C88" i="42"/>
  <c r="C89" i="42"/>
  <c r="C90" i="42"/>
  <c r="C91" i="42"/>
  <c r="C92" i="42"/>
  <c r="C93" i="42"/>
  <c r="C94" i="42"/>
  <c r="C95" i="42"/>
  <c r="C13" i="42"/>
  <c r="F93" i="41"/>
  <c r="F94" i="41"/>
  <c r="E93" i="41"/>
  <c r="D93" i="41"/>
  <c r="C13" i="41"/>
  <c r="C14" i="41"/>
  <c r="C15" i="41"/>
  <c r="C16" i="41"/>
  <c r="C17" i="41"/>
  <c r="C18" i="41"/>
  <c r="C19" i="41"/>
  <c r="C20" i="41"/>
  <c r="C21" i="41"/>
  <c r="C22" i="41"/>
  <c r="C23" i="41"/>
  <c r="C24" i="41"/>
  <c r="C25" i="41"/>
  <c r="C26" i="41"/>
  <c r="C27" i="41"/>
  <c r="C28" i="41"/>
  <c r="C29" i="41"/>
  <c r="C30" i="41"/>
  <c r="C31" i="41"/>
  <c r="C32" i="41"/>
  <c r="C33" i="41"/>
  <c r="C34" i="41"/>
  <c r="C35" i="41"/>
  <c r="C36" i="41"/>
  <c r="C37" i="41"/>
  <c r="C38" i="41"/>
  <c r="C39" i="41"/>
  <c r="C40" i="41"/>
  <c r="C41" i="41"/>
  <c r="C42" i="41"/>
  <c r="C43" i="41"/>
  <c r="C44" i="41"/>
  <c r="C45" i="41"/>
  <c r="C46" i="41"/>
  <c r="C47" i="41"/>
  <c r="C48" i="41"/>
  <c r="C49" i="41"/>
  <c r="C50" i="41"/>
  <c r="C51" i="41"/>
  <c r="C52" i="41"/>
  <c r="C53" i="41"/>
  <c r="C54" i="41"/>
  <c r="C55" i="41"/>
  <c r="C56" i="41"/>
  <c r="C57" i="41"/>
  <c r="C58" i="41"/>
  <c r="C59" i="41"/>
  <c r="C60" i="41"/>
  <c r="C61" i="41"/>
  <c r="C62" i="41"/>
  <c r="C63" i="41"/>
  <c r="C64" i="41"/>
  <c r="C65" i="41"/>
  <c r="C66" i="41"/>
  <c r="C67" i="41"/>
  <c r="C68" i="41"/>
  <c r="C69" i="41"/>
  <c r="C70" i="41"/>
  <c r="C71" i="41"/>
  <c r="C72" i="41"/>
  <c r="C73" i="41"/>
  <c r="C74" i="41"/>
  <c r="C75" i="41"/>
  <c r="C76" i="41"/>
  <c r="C77" i="41"/>
  <c r="C78" i="41"/>
  <c r="C79" i="41"/>
  <c r="C80" i="41"/>
  <c r="C81" i="41"/>
  <c r="C82" i="41"/>
  <c r="C83" i="41"/>
  <c r="C84" i="41"/>
  <c r="C85" i="41"/>
  <c r="C86" i="41"/>
  <c r="C87" i="41"/>
  <c r="C88" i="41"/>
  <c r="C89" i="41"/>
  <c r="C90" i="41"/>
  <c r="C91" i="41"/>
  <c r="C92" i="41"/>
  <c r="C93" i="41"/>
  <c r="C94" i="41"/>
  <c r="C12" i="41"/>
  <c r="C86" i="40"/>
  <c r="C87" i="40"/>
  <c r="D86" i="40"/>
  <c r="D87" i="40"/>
  <c r="C6" i="40"/>
  <c r="C7" i="40"/>
  <c r="C8" i="40"/>
  <c r="C9" i="40"/>
  <c r="C10" i="40"/>
  <c r="C11" i="40"/>
  <c r="C12" i="40"/>
  <c r="C13" i="40"/>
  <c r="C14" i="40"/>
  <c r="C15" i="40"/>
  <c r="C16" i="40"/>
  <c r="C17" i="40"/>
  <c r="C18" i="40"/>
  <c r="C19" i="40"/>
  <c r="C20" i="40"/>
  <c r="C21" i="40"/>
  <c r="C22" i="40"/>
  <c r="C23" i="40"/>
  <c r="C24" i="40"/>
  <c r="C25" i="40"/>
  <c r="C26" i="40"/>
  <c r="C27" i="40"/>
  <c r="C28" i="40"/>
  <c r="C29" i="40"/>
  <c r="C30" i="40"/>
  <c r="C31" i="40"/>
  <c r="C32" i="40"/>
  <c r="C33" i="40"/>
  <c r="C34" i="40"/>
  <c r="C35" i="40"/>
  <c r="C36" i="40"/>
  <c r="C37" i="40"/>
  <c r="C38" i="40"/>
  <c r="C39" i="40"/>
  <c r="C40" i="40"/>
  <c r="C41" i="40"/>
  <c r="C42" i="40"/>
  <c r="C43" i="40"/>
  <c r="C44" i="40"/>
  <c r="C45" i="40"/>
  <c r="C46" i="40"/>
  <c r="C47" i="40"/>
  <c r="C48" i="40"/>
  <c r="C49" i="40"/>
  <c r="C50" i="40"/>
  <c r="C51" i="40"/>
  <c r="C52" i="40"/>
  <c r="C53" i="40"/>
  <c r="C54" i="40"/>
  <c r="C55" i="40"/>
  <c r="C56" i="40"/>
  <c r="C57" i="40"/>
  <c r="C58" i="40"/>
  <c r="C59" i="40"/>
  <c r="C60" i="40"/>
  <c r="C61" i="40"/>
  <c r="C62" i="40"/>
  <c r="C63" i="40"/>
  <c r="C64" i="40"/>
  <c r="C65" i="40"/>
  <c r="C66" i="40"/>
  <c r="C67" i="40"/>
  <c r="C68" i="40"/>
  <c r="C69" i="40"/>
  <c r="C70" i="40"/>
  <c r="C71" i="40"/>
  <c r="C72" i="40"/>
  <c r="C73" i="40"/>
  <c r="C74" i="40"/>
  <c r="C75" i="40"/>
  <c r="C76" i="40"/>
  <c r="C77" i="40"/>
  <c r="C78" i="40"/>
  <c r="C79" i="40"/>
  <c r="C80" i="40"/>
  <c r="C81" i="40"/>
  <c r="C82" i="40"/>
  <c r="C83" i="40"/>
  <c r="C84" i="40"/>
  <c r="C85" i="40"/>
  <c r="C5" i="40"/>
  <c r="D5" i="40" s="1"/>
  <c r="D6" i="40" s="1"/>
  <c r="D7" i="40" s="1"/>
  <c r="D6" i="39"/>
  <c r="D7" i="39"/>
  <c r="E7" i="39" s="1"/>
  <c r="F7" i="39" s="1"/>
  <c r="D8" i="39"/>
  <c r="E10" i="39" s="1"/>
  <c r="F10" i="39" s="1"/>
  <c r="D9" i="39"/>
  <c r="E11" i="39" s="1"/>
  <c r="F11" i="39" s="1"/>
  <c r="D10" i="39"/>
  <c r="D11" i="39"/>
  <c r="D12" i="39"/>
  <c r="D13" i="39"/>
  <c r="D14" i="39"/>
  <c r="D15" i="39"/>
  <c r="D16" i="39"/>
  <c r="D17" i="39"/>
  <c r="E19" i="39" s="1"/>
  <c r="F19" i="39" s="1"/>
  <c r="D18" i="39"/>
  <c r="E20" i="39" s="1"/>
  <c r="F20" i="39" s="1"/>
  <c r="D19" i="39"/>
  <c r="E21" i="39" s="1"/>
  <c r="F21" i="39" s="1"/>
  <c r="D20" i="39"/>
  <c r="E18" i="39" s="1"/>
  <c r="F18" i="39" s="1"/>
  <c r="D21" i="39"/>
  <c r="E23" i="39" s="1"/>
  <c r="F23" i="39" s="1"/>
  <c r="D22" i="39"/>
  <c r="D23" i="39"/>
  <c r="E25" i="39" s="1"/>
  <c r="F25" i="39" s="1"/>
  <c r="D24" i="39"/>
  <c r="D25" i="39"/>
  <c r="E27" i="39" s="1"/>
  <c r="F27" i="39" s="1"/>
  <c r="D26" i="39"/>
  <c r="D27" i="39"/>
  <c r="D28" i="39"/>
  <c r="D29" i="39"/>
  <c r="D30" i="39"/>
  <c r="D31" i="39"/>
  <c r="D32" i="39"/>
  <c r="D33" i="39"/>
  <c r="E35" i="39" s="1"/>
  <c r="F35" i="39" s="1"/>
  <c r="D34" i="39"/>
  <c r="E36" i="39" s="1"/>
  <c r="F36" i="39" s="1"/>
  <c r="D35" i="39"/>
  <c r="E37" i="39" s="1"/>
  <c r="F37" i="39" s="1"/>
  <c r="D36" i="39"/>
  <c r="E34" i="39" s="1"/>
  <c r="F34" i="39" s="1"/>
  <c r="D37" i="39"/>
  <c r="E39" i="39" s="1"/>
  <c r="F39" i="39" s="1"/>
  <c r="D38" i="39"/>
  <c r="D39" i="39"/>
  <c r="E41" i="39" s="1"/>
  <c r="F41" i="39" s="1"/>
  <c r="D40" i="39"/>
  <c r="E42" i="39" s="1"/>
  <c r="F42" i="39" s="1"/>
  <c r="D41" i="39"/>
  <c r="E43" i="39" s="1"/>
  <c r="F43" i="39" s="1"/>
  <c r="D42" i="39"/>
  <c r="D43" i="39"/>
  <c r="D44" i="39"/>
  <c r="D45" i="39"/>
  <c r="D46" i="39"/>
  <c r="D47" i="39"/>
  <c r="D48" i="39"/>
  <c r="D49" i="39"/>
  <c r="E51" i="39" s="1"/>
  <c r="F51" i="39" s="1"/>
  <c r="D50" i="39"/>
  <c r="E52" i="39" s="1"/>
  <c r="F52" i="39" s="1"/>
  <c r="D51" i="39"/>
  <c r="E53" i="39" s="1"/>
  <c r="F53" i="39" s="1"/>
  <c r="D52" i="39"/>
  <c r="E50" i="39" s="1"/>
  <c r="F50" i="39" s="1"/>
  <c r="D53" i="39"/>
  <c r="E55" i="39" s="1"/>
  <c r="F55" i="39" s="1"/>
  <c r="D54" i="39"/>
  <c r="D55" i="39"/>
  <c r="E57" i="39" s="1"/>
  <c r="F57" i="39" s="1"/>
  <c r="D56" i="39"/>
  <c r="E58" i="39" s="1"/>
  <c r="F58" i="39" s="1"/>
  <c r="D57" i="39"/>
  <c r="E59" i="39" s="1"/>
  <c r="F59" i="39" s="1"/>
  <c r="D58" i="39"/>
  <c r="D59" i="39"/>
  <c r="D60" i="39"/>
  <c r="D61" i="39"/>
  <c r="D62" i="39"/>
  <c r="D63" i="39"/>
  <c r="D64" i="39"/>
  <c r="D65" i="39"/>
  <c r="E67" i="39" s="1"/>
  <c r="F67" i="39" s="1"/>
  <c r="D66" i="39"/>
  <c r="E68" i="39" s="1"/>
  <c r="F68" i="39" s="1"/>
  <c r="D67" i="39"/>
  <c r="E69" i="39" s="1"/>
  <c r="F69" i="39" s="1"/>
  <c r="D68" i="39"/>
  <c r="E66" i="39" s="1"/>
  <c r="F66" i="39" s="1"/>
  <c r="D69" i="39"/>
  <c r="E71" i="39" s="1"/>
  <c r="F71" i="39" s="1"/>
  <c r="D70" i="39"/>
  <c r="D71" i="39"/>
  <c r="E73" i="39" s="1"/>
  <c r="F73" i="39" s="1"/>
  <c r="D72" i="39"/>
  <c r="E74" i="39" s="1"/>
  <c r="F74" i="39" s="1"/>
  <c r="D73" i="39"/>
  <c r="E75" i="39" s="1"/>
  <c r="F75" i="39" s="1"/>
  <c r="D74" i="39"/>
  <c r="D75" i="39"/>
  <c r="D76" i="39"/>
  <c r="D77" i="39"/>
  <c r="D78" i="39"/>
  <c r="D79" i="39"/>
  <c r="D80" i="39"/>
  <c r="D81" i="39"/>
  <c r="E83" i="39" s="1"/>
  <c r="F83" i="39" s="1"/>
  <c r="D82" i="39"/>
  <c r="D83" i="39"/>
  <c r="E85" i="39" s="1"/>
  <c r="D84" i="39"/>
  <c r="E82" i="39" s="1"/>
  <c r="F82" i="39" s="1"/>
  <c r="D85" i="39"/>
  <c r="F85" i="39" s="1"/>
  <c r="D86" i="39"/>
  <c r="D87" i="39"/>
  <c r="D5" i="39"/>
  <c r="D6" i="36"/>
  <c r="D7" i="36"/>
  <c r="D8" i="36"/>
  <c r="D9" i="36"/>
  <c r="D10" i="36"/>
  <c r="D11" i="36"/>
  <c r="D12" i="36"/>
  <c r="D13" i="36"/>
  <c r="D14" i="36"/>
  <c r="D15" i="36"/>
  <c r="D16" i="36"/>
  <c r="D17" i="36"/>
  <c r="D18" i="36"/>
  <c r="D19" i="36"/>
  <c r="D20" i="36"/>
  <c r="D21" i="36"/>
  <c r="D22" i="36"/>
  <c r="D23" i="36"/>
  <c r="D24" i="36"/>
  <c r="D25" i="36"/>
  <c r="D26" i="36"/>
  <c r="D27" i="36"/>
  <c r="D28" i="36"/>
  <c r="D29" i="36"/>
  <c r="D30" i="36"/>
  <c r="D31" i="36"/>
  <c r="D32" i="36"/>
  <c r="D33" i="36"/>
  <c r="D34" i="36"/>
  <c r="D35" i="36"/>
  <c r="D36" i="36"/>
  <c r="D37" i="36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D51" i="36"/>
  <c r="D52" i="36"/>
  <c r="D53" i="36"/>
  <c r="D54" i="36"/>
  <c r="D55" i="36"/>
  <c r="D56" i="36"/>
  <c r="D57" i="36"/>
  <c r="D58" i="36"/>
  <c r="D59" i="36"/>
  <c r="D60" i="36"/>
  <c r="D61" i="36"/>
  <c r="D62" i="36"/>
  <c r="D63" i="36"/>
  <c r="D64" i="36"/>
  <c r="D65" i="36"/>
  <c r="D66" i="36"/>
  <c r="D67" i="36"/>
  <c r="D68" i="36"/>
  <c r="D69" i="36"/>
  <c r="D70" i="36"/>
  <c r="D71" i="36"/>
  <c r="D72" i="36"/>
  <c r="D73" i="36"/>
  <c r="D74" i="36"/>
  <c r="D75" i="36"/>
  <c r="D76" i="36"/>
  <c r="D77" i="36"/>
  <c r="D78" i="36"/>
  <c r="D79" i="36"/>
  <c r="D80" i="36"/>
  <c r="D81" i="36"/>
  <c r="D82" i="36"/>
  <c r="D83" i="36"/>
  <c r="D84" i="36"/>
  <c r="D85" i="36"/>
  <c r="D86" i="36"/>
  <c r="D87" i="36"/>
  <c r="D5" i="36"/>
  <c r="C87" i="38"/>
  <c r="H5" i="45"/>
  <c r="H93" i="45"/>
  <c r="H92" i="45"/>
  <c r="F91" i="45"/>
  <c r="H89" i="45"/>
  <c r="F87" i="45"/>
  <c r="H87" i="45" s="1"/>
  <c r="H90" i="45"/>
  <c r="H85" i="45"/>
  <c r="D84" i="45"/>
  <c r="H84" i="45" s="1"/>
  <c r="F83" i="45"/>
  <c r="H83" i="45" s="1"/>
  <c r="F82" i="45"/>
  <c r="H82" i="45" s="1"/>
  <c r="E82" i="45"/>
  <c r="H81" i="45"/>
  <c r="D80" i="45"/>
  <c r="H80" i="45" s="1"/>
  <c r="F79" i="45"/>
  <c r="H79" i="45" s="1"/>
  <c r="F78" i="45"/>
  <c r="H78" i="45" s="1"/>
  <c r="E78" i="45"/>
  <c r="H77" i="45"/>
  <c r="D76" i="45"/>
  <c r="H76" i="45" s="1"/>
  <c r="F75" i="45"/>
  <c r="H75" i="45" s="1"/>
  <c r="F74" i="45"/>
  <c r="E74" i="45"/>
  <c r="H73" i="45"/>
  <c r="D72" i="45"/>
  <c r="H72" i="45" s="1"/>
  <c r="F71" i="45"/>
  <c r="H71" i="45" s="1"/>
  <c r="F70" i="45"/>
  <c r="H70" i="45" s="1"/>
  <c r="E70" i="45"/>
  <c r="D68" i="45"/>
  <c r="H68" i="45" s="1"/>
  <c r="F67" i="45"/>
  <c r="H67" i="45" s="1"/>
  <c r="F66" i="45"/>
  <c r="E66" i="45"/>
  <c r="D64" i="45"/>
  <c r="H64" i="45" s="1"/>
  <c r="F63" i="45"/>
  <c r="H63" i="45" s="1"/>
  <c r="F62" i="45"/>
  <c r="E62" i="45"/>
  <c r="H69" i="45"/>
  <c r="D60" i="45"/>
  <c r="H60" i="45" s="1"/>
  <c r="F59" i="45"/>
  <c r="H59" i="45" s="1"/>
  <c r="F58" i="45"/>
  <c r="E58" i="45"/>
  <c r="H61" i="45"/>
  <c r="H57" i="45"/>
  <c r="D56" i="45"/>
  <c r="F55" i="45"/>
  <c r="H55" i="45" s="1"/>
  <c r="F54" i="45"/>
  <c r="E53" i="45"/>
  <c r="D53" i="45"/>
  <c r="D52" i="45"/>
  <c r="H52" i="45" s="1"/>
  <c r="F51" i="45"/>
  <c r="F50" i="45"/>
  <c r="H50" i="45"/>
  <c r="E49" i="45"/>
  <c r="D49" i="45"/>
  <c r="H49" i="45" s="1"/>
  <c r="D48" i="45"/>
  <c r="H48" i="45" s="1"/>
  <c r="F47" i="45"/>
  <c r="H47" i="45" s="1"/>
  <c r="F46" i="45"/>
  <c r="H46" i="45"/>
  <c r="D44" i="45"/>
  <c r="H44" i="45" s="1"/>
  <c r="F43" i="45"/>
  <c r="H43" i="45" s="1"/>
  <c r="F42" i="45"/>
  <c r="H18" i="45"/>
  <c r="H19" i="45"/>
  <c r="H25" i="45"/>
  <c r="H28" i="45"/>
  <c r="H35" i="45"/>
  <c r="H39" i="45"/>
  <c r="H41" i="45"/>
  <c r="H45" i="45"/>
  <c r="H51" i="45"/>
  <c r="H56" i="45"/>
  <c r="H65" i="45"/>
  <c r="D40" i="45"/>
  <c r="H40" i="45" s="1"/>
  <c r="F38" i="45"/>
  <c r="H38" i="45"/>
  <c r="E37" i="45"/>
  <c r="D37" i="45"/>
  <c r="H37" i="45" s="1"/>
  <c r="D36" i="45"/>
  <c r="H36" i="45" s="1"/>
  <c r="F35" i="45"/>
  <c r="F34" i="45"/>
  <c r="E34" i="45"/>
  <c r="H34" i="45" s="1"/>
  <c r="E33" i="45"/>
  <c r="D33" i="45"/>
  <c r="H33" i="45" s="1"/>
  <c r="D32" i="45"/>
  <c r="H32" i="45" s="1"/>
  <c r="F31" i="45"/>
  <c r="H31" i="45" s="1"/>
  <c r="F30" i="45"/>
  <c r="E30" i="45"/>
  <c r="H30" i="45" s="1"/>
  <c r="E29" i="45"/>
  <c r="D29" i="45"/>
  <c r="D28" i="45"/>
  <c r="F27" i="45"/>
  <c r="H27" i="45" s="1"/>
  <c r="F26" i="45"/>
  <c r="E26" i="45"/>
  <c r="H26" i="45" s="1"/>
  <c r="D24" i="45"/>
  <c r="H24" i="45" s="1"/>
  <c r="F22" i="45"/>
  <c r="E22" i="45"/>
  <c r="F23" i="45"/>
  <c r="H23" i="45" s="1"/>
  <c r="E21" i="45"/>
  <c r="D21" i="45"/>
  <c r="H21" i="45" s="1"/>
  <c r="D20" i="45"/>
  <c r="H20" i="45" s="1"/>
  <c r="F18" i="45"/>
  <c r="E18" i="45"/>
  <c r="F19" i="45"/>
  <c r="E17" i="45"/>
  <c r="F15" i="45"/>
  <c r="H15" i="45" s="1"/>
  <c r="D16" i="45"/>
  <c r="H16" i="45" s="1"/>
  <c r="F14" i="45"/>
  <c r="E14" i="45"/>
  <c r="H14" i="45" s="1"/>
  <c r="D12" i="45"/>
  <c r="H12" i="45" s="1"/>
  <c r="E13" i="45"/>
  <c r="F11" i="45"/>
  <c r="H11" i="45" s="1"/>
  <c r="F10" i="45"/>
  <c r="E10" i="45"/>
  <c r="H10" i="45" s="1"/>
  <c r="D8" i="45"/>
  <c r="H8" i="45" s="1"/>
  <c r="E9" i="45"/>
  <c r="H7" i="45"/>
  <c r="D12" i="41"/>
  <c r="F13" i="41" s="1"/>
  <c r="E12" i="39"/>
  <c r="F12" i="39" s="1"/>
  <c r="E13" i="39"/>
  <c r="F13" i="39" s="1"/>
  <c r="E14" i="39"/>
  <c r="F14" i="39" s="1"/>
  <c r="E15" i="39"/>
  <c r="F15" i="39" s="1"/>
  <c r="E16" i="39"/>
  <c r="F16" i="39" s="1"/>
  <c r="E17" i="39"/>
  <c r="F17" i="39" s="1"/>
  <c r="E28" i="39"/>
  <c r="F28" i="39" s="1"/>
  <c r="E29" i="39"/>
  <c r="F29" i="39" s="1"/>
  <c r="E30" i="39"/>
  <c r="F30" i="39" s="1"/>
  <c r="E31" i="39"/>
  <c r="F31" i="39" s="1"/>
  <c r="E32" i="39"/>
  <c r="F32" i="39" s="1"/>
  <c r="E33" i="39"/>
  <c r="F33" i="39" s="1"/>
  <c r="E44" i="39"/>
  <c r="F44" i="39" s="1"/>
  <c r="E45" i="39"/>
  <c r="F45" i="39" s="1"/>
  <c r="E46" i="39"/>
  <c r="F46" i="39" s="1"/>
  <c r="E47" i="39"/>
  <c r="F47" i="39" s="1"/>
  <c r="E48" i="39"/>
  <c r="F48" i="39" s="1"/>
  <c r="E49" i="39"/>
  <c r="F49" i="39" s="1"/>
  <c r="E60" i="39"/>
  <c r="F60" i="39" s="1"/>
  <c r="E61" i="39"/>
  <c r="F61" i="39" s="1"/>
  <c r="E62" i="39"/>
  <c r="F62" i="39" s="1"/>
  <c r="E63" i="39"/>
  <c r="F63" i="39" s="1"/>
  <c r="E64" i="39"/>
  <c r="F64" i="39" s="1"/>
  <c r="E65" i="39"/>
  <c r="F65" i="39" s="1"/>
  <c r="E76" i="39"/>
  <c r="F76" i="39" s="1"/>
  <c r="E77" i="39"/>
  <c r="F77" i="39" s="1"/>
  <c r="E78" i="39"/>
  <c r="F78" i="39" s="1"/>
  <c r="E79" i="39"/>
  <c r="F79" i="39" s="1"/>
  <c r="E80" i="39"/>
  <c r="F80" i="39" s="1"/>
  <c r="E81" i="39"/>
  <c r="F81" i="39" s="1"/>
  <c r="D89" i="46"/>
  <c r="D90" i="46"/>
  <c r="D91" i="46"/>
  <c r="D92" i="46"/>
  <c r="D93" i="46"/>
  <c r="E89" i="46"/>
  <c r="F89" i="46"/>
  <c r="E90" i="46"/>
  <c r="F90" i="46"/>
  <c r="E91" i="46"/>
  <c r="F91" i="46"/>
  <c r="E92" i="46"/>
  <c r="F92" i="46"/>
  <c r="E93" i="46"/>
  <c r="F93" i="46"/>
  <c r="E167" i="34" l="1"/>
  <c r="E141" i="34"/>
  <c r="E142" i="34" s="1"/>
  <c r="G138" i="34"/>
  <c r="G139" i="34" s="1"/>
  <c r="I90" i="34"/>
  <c r="H90" i="34"/>
  <c r="G90" i="34"/>
  <c r="F90" i="34"/>
  <c r="E138" i="34"/>
  <c r="E139" i="34" s="1"/>
  <c r="I138" i="34"/>
  <c r="I139" i="34" s="1"/>
  <c r="H138" i="34"/>
  <c r="H139" i="34" s="1"/>
  <c r="H164" i="34"/>
  <c r="H80" i="34"/>
  <c r="F164" i="34"/>
  <c r="F80" i="34"/>
  <c r="I164" i="34"/>
  <c r="I80" i="34"/>
  <c r="G164" i="34"/>
  <c r="G80" i="34"/>
  <c r="F138" i="34"/>
  <c r="F139" i="34" s="1"/>
  <c r="H97" i="34"/>
  <c r="G97" i="34"/>
  <c r="F97" i="34"/>
  <c r="I97" i="34"/>
  <c r="H19" i="34"/>
  <c r="H70" i="34"/>
  <c r="E70" i="34"/>
  <c r="E122" i="34" s="1"/>
  <c r="F19" i="34"/>
  <c r="F70" i="34"/>
  <c r="G19" i="34"/>
  <c r="G70" i="34"/>
  <c r="I19" i="34"/>
  <c r="I70" i="34"/>
  <c r="C74" i="34"/>
  <c r="H45" i="34"/>
  <c r="I45" i="34"/>
  <c r="F45" i="34"/>
  <c r="G45" i="34"/>
  <c r="E46" i="34"/>
  <c r="D49" i="34"/>
  <c r="D24" i="34" s="1"/>
  <c r="C46" i="34"/>
  <c r="H22" i="45"/>
  <c r="H74" i="45"/>
  <c r="H29" i="45"/>
  <c r="H53" i="45"/>
  <c r="H54" i="45"/>
  <c r="H66" i="45"/>
  <c r="H58" i="45"/>
  <c r="H42" i="45"/>
  <c r="H62" i="45"/>
  <c r="D16" i="43"/>
  <c r="E17" i="42"/>
  <c r="F14" i="42"/>
  <c r="F16" i="42"/>
  <c r="F13" i="42"/>
  <c r="G17" i="42" s="1"/>
  <c r="F15" i="42"/>
  <c r="D94" i="41"/>
  <c r="E94" i="41" s="1"/>
  <c r="D13" i="41"/>
  <c r="E13" i="41" s="1"/>
  <c r="F14" i="41" s="1"/>
  <c r="E26" i="39"/>
  <c r="F26" i="39" s="1"/>
  <c r="E9" i="39"/>
  <c r="F9" i="39" s="1"/>
  <c r="L5" i="39" s="1"/>
  <c r="E86" i="39"/>
  <c r="F86" i="39" s="1"/>
  <c r="E72" i="39"/>
  <c r="F72" i="39" s="1"/>
  <c r="E56" i="39"/>
  <c r="F56" i="39" s="1"/>
  <c r="E40" i="39"/>
  <c r="F40" i="39" s="1"/>
  <c r="E24" i="39"/>
  <c r="F24" i="39" s="1"/>
  <c r="E8" i="39"/>
  <c r="F8" i="39" s="1"/>
  <c r="E87" i="39"/>
  <c r="F87" i="39" s="1"/>
  <c r="L7" i="39" s="1"/>
  <c r="E38" i="39"/>
  <c r="F38" i="39" s="1"/>
  <c r="E22" i="39"/>
  <c r="F22" i="39" s="1"/>
  <c r="E84" i="39"/>
  <c r="F84" i="39" s="1"/>
  <c r="E54" i="39"/>
  <c r="F54" i="39" s="1"/>
  <c r="E70" i="39"/>
  <c r="F70" i="39" s="1"/>
  <c r="L6" i="39"/>
  <c r="H91" i="45"/>
  <c r="D9" i="45"/>
  <c r="H9" i="45" s="1"/>
  <c r="H6" i="45"/>
  <c r="D17" i="45"/>
  <c r="H17" i="45" s="1"/>
  <c r="D13" i="45"/>
  <c r="H13" i="45" s="1"/>
  <c r="D8" i="40"/>
  <c r="D9" i="40" s="1"/>
  <c r="D10" i="40" s="1"/>
  <c r="D11" i="40" s="1"/>
  <c r="D12" i="40" s="1"/>
  <c r="D13" i="40" s="1"/>
  <c r="D14" i="40" s="1"/>
  <c r="D15" i="40" s="1"/>
  <c r="D16" i="40" s="1"/>
  <c r="D17" i="40" s="1"/>
  <c r="D18" i="40" s="1"/>
  <c r="D19" i="40" s="1"/>
  <c r="D20" i="40" s="1"/>
  <c r="D21" i="40" s="1"/>
  <c r="D22" i="40" s="1"/>
  <c r="D23" i="40" s="1"/>
  <c r="D24" i="40" s="1"/>
  <c r="D25" i="40" s="1"/>
  <c r="D26" i="40" s="1"/>
  <c r="D27" i="40" s="1"/>
  <c r="D28" i="40" s="1"/>
  <c r="D29" i="40" s="1"/>
  <c r="D30" i="40" s="1"/>
  <c r="D31" i="40" s="1"/>
  <c r="D32" i="40" s="1"/>
  <c r="D33" i="40" s="1"/>
  <c r="D34" i="40" s="1"/>
  <c r="D35" i="40" s="1"/>
  <c r="D36" i="40" s="1"/>
  <c r="D37" i="40" s="1"/>
  <c r="D38" i="40" s="1"/>
  <c r="D39" i="40" s="1"/>
  <c r="D40" i="40" s="1"/>
  <c r="D41" i="40" s="1"/>
  <c r="D42" i="40" s="1"/>
  <c r="D43" i="40" s="1"/>
  <c r="D44" i="40" s="1"/>
  <c r="D45" i="40" s="1"/>
  <c r="D46" i="40" s="1"/>
  <c r="D47" i="40" s="1"/>
  <c r="D48" i="40" s="1"/>
  <c r="D49" i="40" s="1"/>
  <c r="D50" i="40" s="1"/>
  <c r="D51" i="40" s="1"/>
  <c r="D52" i="40" s="1"/>
  <c r="D53" i="40" s="1"/>
  <c r="D54" i="40" s="1"/>
  <c r="D55" i="40" s="1"/>
  <c r="D56" i="40" s="1"/>
  <c r="D57" i="40" s="1"/>
  <c r="D58" i="40" s="1"/>
  <c r="D59" i="40" s="1"/>
  <c r="D60" i="40" s="1"/>
  <c r="D61" i="40" s="1"/>
  <c r="D62" i="40" s="1"/>
  <c r="D63" i="40" s="1"/>
  <c r="D64" i="40" s="1"/>
  <c r="D65" i="40" s="1"/>
  <c r="D66" i="40" s="1"/>
  <c r="D67" i="40" s="1"/>
  <c r="D68" i="40" s="1"/>
  <c r="D69" i="40" s="1"/>
  <c r="D70" i="40" s="1"/>
  <c r="D71" i="40" s="1"/>
  <c r="D72" i="40" s="1"/>
  <c r="D73" i="40" s="1"/>
  <c r="D74" i="40" s="1"/>
  <c r="D75" i="40" s="1"/>
  <c r="D76" i="40" s="1"/>
  <c r="D77" i="40" s="1"/>
  <c r="D78" i="40" s="1"/>
  <c r="D79" i="40" s="1"/>
  <c r="D80" i="40" s="1"/>
  <c r="D81" i="40" s="1"/>
  <c r="D82" i="40" s="1"/>
  <c r="D83" i="40" s="1"/>
  <c r="D84" i="40" s="1"/>
  <c r="D85" i="40" s="1"/>
  <c r="D88" i="40" s="1"/>
  <c r="I167" i="34" l="1"/>
  <c r="H167" i="34"/>
  <c r="F167" i="34"/>
  <c r="G167" i="34"/>
  <c r="H122" i="34"/>
  <c r="F122" i="34"/>
  <c r="I122" i="34"/>
  <c r="G122" i="34"/>
  <c r="H126" i="34"/>
  <c r="I46" i="34"/>
  <c r="I141" i="34"/>
  <c r="I142" i="34" s="1"/>
  <c r="F46" i="34"/>
  <c r="F141" i="34"/>
  <c r="F142" i="34" s="1"/>
  <c r="I126" i="34"/>
  <c r="E144" i="34"/>
  <c r="E49" i="34"/>
  <c r="E163" i="34"/>
  <c r="H46" i="34"/>
  <c r="H141" i="34"/>
  <c r="H142" i="34" s="1"/>
  <c r="I68" i="34"/>
  <c r="I144" i="34"/>
  <c r="G144" i="34"/>
  <c r="F144" i="34"/>
  <c r="H144" i="34"/>
  <c r="D51" i="34"/>
  <c r="D165" i="34"/>
  <c r="D154" i="34"/>
  <c r="D146" i="34"/>
  <c r="G46" i="34"/>
  <c r="G141" i="34"/>
  <c r="G142" i="34" s="1"/>
  <c r="G126" i="34"/>
  <c r="G68" i="34"/>
  <c r="H68" i="34"/>
  <c r="F74" i="34"/>
  <c r="G74" i="34"/>
  <c r="H74" i="34"/>
  <c r="I74" i="34"/>
  <c r="E74" i="34"/>
  <c r="F68" i="34"/>
  <c r="E68" i="34"/>
  <c r="C49" i="34"/>
  <c r="G18" i="42"/>
  <c r="D18" i="42"/>
  <c r="G17" i="43"/>
  <c r="F16" i="43"/>
  <c r="F15" i="43"/>
  <c r="F13" i="43"/>
  <c r="D17" i="43" s="1"/>
  <c r="F14" i="43"/>
  <c r="L8" i="39"/>
  <c r="M5" i="39"/>
  <c r="M6" i="39"/>
  <c r="M7" i="39"/>
  <c r="M8" i="39"/>
  <c r="G84" i="39" s="1"/>
  <c r="D14" i="41"/>
  <c r="G7" i="40" a="1"/>
  <c r="G7" i="40" s="1"/>
  <c r="G6" i="40"/>
  <c r="E65" i="34" l="1"/>
  <c r="E76" i="34"/>
  <c r="F76" i="34"/>
  <c r="H76" i="34"/>
  <c r="I76" i="34"/>
  <c r="G76" i="34"/>
  <c r="I143" i="34"/>
  <c r="I157" i="34" s="1"/>
  <c r="G143" i="34"/>
  <c r="G157" i="34" s="1"/>
  <c r="G49" i="34"/>
  <c r="G163" i="34"/>
  <c r="H49" i="34"/>
  <c r="H163" i="34"/>
  <c r="F49" i="34"/>
  <c r="F163" i="34"/>
  <c r="D53" i="34"/>
  <c r="D55" i="34" s="1"/>
  <c r="D166" i="34"/>
  <c r="E51" i="34"/>
  <c r="E154" i="34"/>
  <c r="E146" i="34"/>
  <c r="E165" i="34"/>
  <c r="H143" i="34"/>
  <c r="H157" i="34" s="1"/>
  <c r="E143" i="34"/>
  <c r="E157" i="34" s="1"/>
  <c r="F143" i="34"/>
  <c r="F157" i="34" s="1"/>
  <c r="I49" i="34"/>
  <c r="I163" i="34"/>
  <c r="C51" i="34"/>
  <c r="E17" i="43"/>
  <c r="D18" i="43" s="1"/>
  <c r="F18" i="43" s="1"/>
  <c r="F17" i="43"/>
  <c r="E18" i="42"/>
  <c r="G19" i="42" s="1"/>
  <c r="F18" i="42"/>
  <c r="G81" i="39"/>
  <c r="G85" i="39"/>
  <c r="G82" i="39"/>
  <c r="G86" i="39"/>
  <c r="G7" i="39"/>
  <c r="G87" i="39"/>
  <c r="G83" i="39"/>
  <c r="H84" i="39"/>
  <c r="I84" i="39"/>
  <c r="E14" i="41"/>
  <c r="D15" i="41" s="1"/>
  <c r="E110" i="34" l="1"/>
  <c r="F65" i="34"/>
  <c r="I65" i="34"/>
  <c r="H65" i="34"/>
  <c r="G65" i="34"/>
  <c r="E168" i="34"/>
  <c r="H51" i="34"/>
  <c r="H154" i="34"/>
  <c r="H165" i="34"/>
  <c r="H146" i="34"/>
  <c r="F51" i="34"/>
  <c r="F168" i="34" s="1"/>
  <c r="F146" i="34"/>
  <c r="F154" i="34"/>
  <c r="F165" i="34"/>
  <c r="E166" i="34"/>
  <c r="E53" i="34"/>
  <c r="E55" i="34" s="1"/>
  <c r="D149" i="34"/>
  <c r="D148" i="34"/>
  <c r="D156" i="34" s="1"/>
  <c r="G51" i="34"/>
  <c r="G154" i="34"/>
  <c r="G146" i="34"/>
  <c r="G165" i="34"/>
  <c r="I51" i="34"/>
  <c r="I146" i="34"/>
  <c r="I165" i="34"/>
  <c r="I154" i="34"/>
  <c r="C53" i="34"/>
  <c r="C55" i="34"/>
  <c r="G18" i="43"/>
  <c r="D19" i="42"/>
  <c r="E19" i="42"/>
  <c r="G20" i="42" s="1"/>
  <c r="F19" i="42"/>
  <c r="H81" i="39"/>
  <c r="I81" i="39" s="1"/>
  <c r="H83" i="39"/>
  <c r="I83" i="39"/>
  <c r="H87" i="39"/>
  <c r="I87" i="39"/>
  <c r="H86" i="39"/>
  <c r="I86" i="39"/>
  <c r="H82" i="39"/>
  <c r="I82" i="39" s="1"/>
  <c r="H85" i="39"/>
  <c r="I85" i="39" s="1"/>
  <c r="E15" i="41"/>
  <c r="D16" i="41" s="1"/>
  <c r="F15" i="41"/>
  <c r="G9" i="39"/>
  <c r="G25" i="39"/>
  <c r="G41" i="39"/>
  <c r="G57" i="39"/>
  <c r="G73" i="39"/>
  <c r="G45" i="39"/>
  <c r="G13" i="39"/>
  <c r="G29" i="39"/>
  <c r="G21" i="39"/>
  <c r="G69" i="39"/>
  <c r="G61" i="39"/>
  <c r="G17" i="39"/>
  <c r="G33" i="39"/>
  <c r="G49" i="39"/>
  <c r="G65" i="39"/>
  <c r="G53" i="39"/>
  <c r="G37" i="39"/>
  <c r="G77" i="39"/>
  <c r="G8" i="39"/>
  <c r="G24" i="39"/>
  <c r="G40" i="39"/>
  <c r="G56" i="39"/>
  <c r="G72" i="39"/>
  <c r="G28" i="39"/>
  <c r="G76" i="39"/>
  <c r="G16" i="39"/>
  <c r="G32" i="39"/>
  <c r="G48" i="39"/>
  <c r="G64" i="39"/>
  <c r="G80" i="39"/>
  <c r="G60" i="39"/>
  <c r="G12" i="39"/>
  <c r="G20" i="39"/>
  <c r="G36" i="39"/>
  <c r="G52" i="39"/>
  <c r="G68" i="39"/>
  <c r="G44" i="39"/>
  <c r="H168" i="34" l="1"/>
  <c r="I168" i="34"/>
  <c r="G168" i="34"/>
  <c r="G53" i="34"/>
  <c r="G55" i="34" s="1"/>
  <c r="G166" i="34"/>
  <c r="E148" i="34"/>
  <c r="E156" i="34" s="1"/>
  <c r="E162" i="34"/>
  <c r="E149" i="34"/>
  <c r="E104" i="34"/>
  <c r="F53" i="34"/>
  <c r="F55" i="34" s="1"/>
  <c r="F166" i="34"/>
  <c r="I53" i="34"/>
  <c r="I55" i="34" s="1"/>
  <c r="I166" i="34"/>
  <c r="H53" i="34"/>
  <c r="H55" i="34" s="1"/>
  <c r="H166" i="34"/>
  <c r="D20" i="42"/>
  <c r="E20" i="42"/>
  <c r="D21" i="42" s="1"/>
  <c r="F20" i="42"/>
  <c r="H80" i="39"/>
  <c r="I80" i="39" s="1"/>
  <c r="F16" i="41"/>
  <c r="E16" i="41"/>
  <c r="D17" i="41" s="1"/>
  <c r="H17" i="39"/>
  <c r="I17" i="39" s="1"/>
  <c r="H49" i="39"/>
  <c r="I49" i="39" s="1"/>
  <c r="H16" i="39"/>
  <c r="I16" i="39" s="1"/>
  <c r="H21" i="39"/>
  <c r="I21" i="39" s="1"/>
  <c r="H29" i="39"/>
  <c r="I29" i="39" s="1"/>
  <c r="H65" i="39"/>
  <c r="I65" i="39" s="1"/>
  <c r="G26" i="39"/>
  <c r="G30" i="39"/>
  <c r="G78" i="39"/>
  <c r="G63" i="39"/>
  <c r="G70" i="39"/>
  <c r="G10" i="39"/>
  <c r="G59" i="39"/>
  <c r="G38" i="39"/>
  <c r="G42" i="39"/>
  <c r="G62" i="39"/>
  <c r="G22" i="39"/>
  <c r="G18" i="39"/>
  <c r="G34" i="39"/>
  <c r="G50" i="39"/>
  <c r="G66" i="39"/>
  <c r="G54" i="39"/>
  <c r="G74" i="39"/>
  <c r="G14" i="39"/>
  <c r="G58" i="39"/>
  <c r="G46" i="39"/>
  <c r="H41" i="39"/>
  <c r="I41" i="39" s="1"/>
  <c r="H64" i="39"/>
  <c r="I64" i="39" s="1"/>
  <c r="H33" i="39"/>
  <c r="I33" i="39" s="1"/>
  <c r="H61" i="39"/>
  <c r="I61" i="39" s="1"/>
  <c r="H69" i="39"/>
  <c r="I69" i="39" s="1"/>
  <c r="H72" i="39"/>
  <c r="I72" i="39" s="1"/>
  <c r="H56" i="39"/>
  <c r="I56" i="39" s="1"/>
  <c r="H40" i="39"/>
  <c r="I40" i="39" s="1"/>
  <c r="H68" i="39"/>
  <c r="I68" i="39" s="1"/>
  <c r="H24" i="39"/>
  <c r="I24" i="39" s="1"/>
  <c r="H73" i="39"/>
  <c r="I73" i="39" s="1"/>
  <c r="H36" i="39"/>
  <c r="I36" i="39" s="1"/>
  <c r="H57" i="39"/>
  <c r="I57" i="39" s="1"/>
  <c r="H12" i="39"/>
  <c r="I12" i="39" s="1"/>
  <c r="H25" i="39"/>
  <c r="I25" i="39" s="1"/>
  <c r="H48" i="39"/>
  <c r="I48" i="39" s="1"/>
  <c r="H32" i="39"/>
  <c r="I32" i="39" s="1"/>
  <c r="H76" i="39"/>
  <c r="I76" i="39" s="1"/>
  <c r="H28" i="39"/>
  <c r="I28" i="39" s="1"/>
  <c r="G75" i="39"/>
  <c r="G15" i="39"/>
  <c r="G31" i="39"/>
  <c r="G47" i="39"/>
  <c r="G79" i="39"/>
  <c r="G35" i="39"/>
  <c r="G23" i="39"/>
  <c r="G71" i="39"/>
  <c r="G19" i="39"/>
  <c r="G55" i="39"/>
  <c r="G11" i="39"/>
  <c r="G67" i="39"/>
  <c r="G51" i="39"/>
  <c r="G27" i="39"/>
  <c r="G39" i="39"/>
  <c r="G43" i="39"/>
  <c r="H44" i="39"/>
  <c r="I44" i="39" s="1"/>
  <c r="H13" i="39"/>
  <c r="I13" i="39" s="1"/>
  <c r="H45" i="39"/>
  <c r="I45" i="39" s="1"/>
  <c r="H52" i="39"/>
  <c r="I52" i="39" s="1"/>
  <c r="H8" i="39"/>
  <c r="I8" i="39" s="1"/>
  <c r="H77" i="39"/>
  <c r="I77" i="39" s="1"/>
  <c r="H20" i="39"/>
  <c r="I20" i="39" s="1"/>
  <c r="H37" i="39"/>
  <c r="I37" i="39" s="1"/>
  <c r="H60" i="39"/>
  <c r="I60" i="39" s="1"/>
  <c r="H53" i="39"/>
  <c r="I53" i="39" s="1"/>
  <c r="H9" i="39"/>
  <c r="I9" i="39" s="1"/>
  <c r="I104" i="34" l="1"/>
  <c r="I162" i="34"/>
  <c r="I148" i="34"/>
  <c r="I156" i="34" s="1"/>
  <c r="I149" i="34"/>
  <c r="H148" i="34"/>
  <c r="H156" i="34" s="1"/>
  <c r="H149" i="34"/>
  <c r="H162" i="34"/>
  <c r="H104" i="34"/>
  <c r="F149" i="34"/>
  <c r="F148" i="34"/>
  <c r="F156" i="34" s="1"/>
  <c r="F162" i="34"/>
  <c r="F104" i="34"/>
  <c r="G149" i="34"/>
  <c r="G148" i="34"/>
  <c r="G156" i="34" s="1"/>
  <c r="G162" i="34"/>
  <c r="G104" i="34"/>
  <c r="G21" i="42"/>
  <c r="E21" i="42"/>
  <c r="D22" i="42" s="1"/>
  <c r="F21" i="42"/>
  <c r="H79" i="39"/>
  <c r="I79" i="39" s="1"/>
  <c r="F17" i="41"/>
  <c r="E17" i="41"/>
  <c r="D18" i="41" s="1"/>
  <c r="H74" i="39"/>
  <c r="I74" i="39" s="1"/>
  <c r="H43" i="39"/>
  <c r="I43" i="39" s="1"/>
  <c r="H39" i="39"/>
  <c r="I39" i="39" s="1"/>
  <c r="H27" i="39"/>
  <c r="I27" i="39" s="1"/>
  <c r="H66" i="39"/>
  <c r="I66" i="39" s="1"/>
  <c r="H67" i="39"/>
  <c r="I67" i="39" s="1"/>
  <c r="H11" i="39"/>
  <c r="I11" i="39" s="1"/>
  <c r="H18" i="39"/>
  <c r="I18" i="39" s="1"/>
  <c r="H51" i="39"/>
  <c r="I51" i="39" s="1"/>
  <c r="H55" i="39"/>
  <c r="I55" i="39" s="1"/>
  <c r="H22" i="39"/>
  <c r="I22" i="39" s="1"/>
  <c r="H75" i="39"/>
  <c r="I75" i="39" s="1"/>
  <c r="H62" i="39"/>
  <c r="I62" i="39" s="1"/>
  <c r="H54" i="39"/>
  <c r="I54" i="39" s="1"/>
  <c r="H34" i="39"/>
  <c r="I34" i="39" s="1"/>
  <c r="H19" i="39"/>
  <c r="I19" i="39"/>
  <c r="H42" i="39"/>
  <c r="I42" i="39" s="1"/>
  <c r="H26" i="39"/>
  <c r="I26" i="39" s="1"/>
  <c r="H7" i="39"/>
  <c r="I7" i="39" s="1"/>
  <c r="H59" i="39"/>
  <c r="I59" i="39" s="1"/>
  <c r="H38" i="39"/>
  <c r="I38" i="39" s="1"/>
  <c r="H30" i="39"/>
  <c r="I30" i="39" s="1"/>
  <c r="H50" i="39"/>
  <c r="I50" i="39" s="1"/>
  <c r="H71" i="39"/>
  <c r="I71" i="39" s="1"/>
  <c r="H35" i="39"/>
  <c r="I35" i="39" s="1"/>
  <c r="H10" i="39"/>
  <c r="I10" i="39" s="1"/>
  <c r="H58" i="39"/>
  <c r="I58" i="39" s="1"/>
  <c r="H47" i="39"/>
  <c r="I47" i="39" s="1"/>
  <c r="H63" i="39"/>
  <c r="I63" i="39" s="1"/>
  <c r="H15" i="39"/>
  <c r="I15" i="39" s="1"/>
  <c r="H23" i="39"/>
  <c r="I23" i="39" s="1"/>
  <c r="H46" i="39"/>
  <c r="I46" i="39"/>
  <c r="H70" i="39"/>
  <c r="I70" i="39" s="1"/>
  <c r="H31" i="39"/>
  <c r="I31" i="39" s="1"/>
  <c r="H14" i="39"/>
  <c r="I14" i="39" s="1"/>
  <c r="H78" i="39"/>
  <c r="I78" i="39" s="1"/>
  <c r="F22" i="42" l="1"/>
  <c r="E22" i="42"/>
  <c r="D23" i="42" s="1"/>
  <c r="G22" i="42"/>
  <c r="F18" i="41"/>
  <c r="E18" i="41"/>
  <c r="D19" i="41" s="1"/>
  <c r="G23" i="42" l="1"/>
  <c r="F23" i="42"/>
  <c r="E23" i="42"/>
  <c r="D24" i="42" s="1"/>
  <c r="F19" i="41"/>
  <c r="E19" i="41"/>
  <c r="D20" i="41" s="1"/>
  <c r="F24" i="42" l="1"/>
  <c r="E24" i="42"/>
  <c r="D25" i="42" s="1"/>
  <c r="E25" i="42" s="1"/>
  <c r="D26" i="42" s="1"/>
  <c r="G24" i="42"/>
  <c r="F20" i="41"/>
  <c r="E20" i="41"/>
  <c r="D21" i="41" s="1"/>
  <c r="F25" i="42" l="1"/>
  <c r="G26" i="42"/>
  <c r="G25" i="42"/>
  <c r="E26" i="42"/>
  <c r="D27" i="42" s="1"/>
  <c r="F26" i="42"/>
  <c r="F21" i="41"/>
  <c r="E21" i="41"/>
  <c r="D22" i="41" s="1"/>
  <c r="G27" i="42" l="1"/>
  <c r="E27" i="42"/>
  <c r="G28" i="42" s="1"/>
  <c r="F27" i="42"/>
  <c r="F22" i="41"/>
  <c r="E22" i="41"/>
  <c r="D23" i="41" s="1"/>
  <c r="D28" i="42" l="1"/>
  <c r="E28" i="42"/>
  <c r="D29" i="42" s="1"/>
  <c r="F28" i="42"/>
  <c r="F23" i="41"/>
  <c r="E23" i="41"/>
  <c r="D24" i="41" s="1"/>
  <c r="G29" i="42" l="1"/>
  <c r="E29" i="42"/>
  <c r="G30" i="42" s="1"/>
  <c r="F29" i="42"/>
  <c r="F24" i="41"/>
  <c r="E24" i="41"/>
  <c r="F25" i="41" s="1"/>
  <c r="D30" i="42" l="1"/>
  <c r="D25" i="41"/>
  <c r="E25" i="41" s="1"/>
  <c r="F26" i="41" s="1"/>
  <c r="E30" i="42" l="1"/>
  <c r="D31" i="42" s="1"/>
  <c r="F30" i="42"/>
  <c r="D26" i="41"/>
  <c r="E26" i="41" s="1"/>
  <c r="G31" i="42" l="1"/>
  <c r="E31" i="42"/>
  <c r="G32" i="42" s="1"/>
  <c r="F31" i="42"/>
  <c r="D27" i="41"/>
  <c r="F27" i="41"/>
  <c r="D32" i="42" l="1"/>
  <c r="E27" i="41"/>
  <c r="F28" i="41" s="1"/>
  <c r="E32" i="42" l="1"/>
  <c r="G33" i="42" s="1"/>
  <c r="F32" i="42"/>
  <c r="D28" i="41"/>
  <c r="D33" i="42" l="1"/>
  <c r="E28" i="41"/>
  <c r="F29" i="41" s="1"/>
  <c r="D29" i="41"/>
  <c r="F33" i="42" l="1"/>
  <c r="E33" i="42"/>
  <c r="G34" i="42" s="1"/>
  <c r="E29" i="41"/>
  <c r="F30" i="41" s="1"/>
  <c r="D34" i="42" l="1"/>
  <c r="D30" i="41"/>
  <c r="E30" i="41" s="1"/>
  <c r="F34" i="42" l="1"/>
  <c r="E34" i="42"/>
  <c r="D35" i="42" s="1"/>
  <c r="F31" i="41"/>
  <c r="D31" i="41"/>
  <c r="E31" i="41" s="1"/>
  <c r="F32" i="41" s="1"/>
  <c r="G35" i="42" l="1"/>
  <c r="F35" i="42"/>
  <c r="E35" i="42"/>
  <c r="G36" i="42" s="1"/>
  <c r="D32" i="41"/>
  <c r="D36" i="42" l="1"/>
  <c r="E32" i="41"/>
  <c r="D33" i="41" s="1"/>
  <c r="F33" i="41"/>
  <c r="E36" i="42" l="1"/>
  <c r="G37" i="42" s="1"/>
  <c r="F36" i="42"/>
  <c r="E33" i="41"/>
  <c r="F34" i="41" s="1"/>
  <c r="D34" i="41"/>
  <c r="D37" i="42" l="1"/>
  <c r="E37" i="42"/>
  <c r="D38" i="42" s="1"/>
  <c r="F37" i="42"/>
  <c r="E34" i="41"/>
  <c r="F35" i="41" s="1"/>
  <c r="G38" i="42" l="1"/>
  <c r="E38" i="42"/>
  <c r="G39" i="42" s="1"/>
  <c r="F38" i="42"/>
  <c r="D39" i="42"/>
  <c r="D35" i="41"/>
  <c r="E35" i="41" s="1"/>
  <c r="F36" i="41" s="1"/>
  <c r="E39" i="42" l="1"/>
  <c r="D40" i="42" s="1"/>
  <c r="F39" i="42"/>
  <c r="D36" i="41"/>
  <c r="E36" i="41" s="1"/>
  <c r="E40" i="42" l="1"/>
  <c r="G41" i="42" s="1"/>
  <c r="F40" i="42"/>
  <c r="G40" i="42"/>
  <c r="F37" i="41"/>
  <c r="D37" i="41"/>
  <c r="E37" i="41"/>
  <c r="F38" i="41" s="1"/>
  <c r="D41" i="42" l="1"/>
  <c r="E41" i="42" s="1"/>
  <c r="D42" i="42" s="1"/>
  <c r="E42" i="42" s="1"/>
  <c r="D43" i="42" s="1"/>
  <c r="F41" i="42"/>
  <c r="D38" i="41"/>
  <c r="E38" i="41"/>
  <c r="F39" i="41" s="1"/>
  <c r="D39" i="41"/>
  <c r="G42" i="42" l="1"/>
  <c r="F42" i="42"/>
  <c r="G43" i="42"/>
  <c r="E43" i="42"/>
  <c r="G44" i="42" s="1"/>
  <c r="F43" i="42"/>
  <c r="E39" i="41"/>
  <c r="F40" i="41" s="1"/>
  <c r="D44" i="42" l="1"/>
  <c r="E44" i="42" s="1"/>
  <c r="D45" i="42" s="1"/>
  <c r="D40" i="41"/>
  <c r="E40" i="41"/>
  <c r="F41" i="41" s="1"/>
  <c r="D41" i="41"/>
  <c r="F44" i="42" l="1"/>
  <c r="G45" i="42"/>
  <c r="E45" i="42"/>
  <c r="D46" i="42" s="1"/>
  <c r="F45" i="42"/>
  <c r="E41" i="41"/>
  <c r="D42" i="41" s="1"/>
  <c r="F42" i="41"/>
  <c r="G46" i="42" l="1"/>
  <c r="E46" i="42"/>
  <c r="D47" i="42" s="1"/>
  <c r="F46" i="42"/>
  <c r="E42" i="41"/>
  <c r="F43" i="41" s="1"/>
  <c r="D43" i="41"/>
  <c r="G47" i="42" l="1"/>
  <c r="E47" i="42"/>
  <c r="G48" i="42" s="1"/>
  <c r="F47" i="42"/>
  <c r="D48" i="42"/>
  <c r="E43" i="41"/>
  <c r="F44" i="41"/>
  <c r="D44" i="41"/>
  <c r="E48" i="42" l="1"/>
  <c r="G49" i="42" s="1"/>
  <c r="F48" i="42"/>
  <c r="D49" i="42"/>
  <c r="E44" i="41"/>
  <c r="D45" i="41" s="1"/>
  <c r="E45" i="41" s="1"/>
  <c r="F46" i="41" s="1"/>
  <c r="E49" i="42" l="1"/>
  <c r="D50" i="42" s="1"/>
  <c r="F49" i="42"/>
  <c r="F45" i="41"/>
  <c r="D46" i="41"/>
  <c r="E46" i="41" s="1"/>
  <c r="F47" i="41" s="1"/>
  <c r="G50" i="42" l="1"/>
  <c r="E50" i="42"/>
  <c r="D51" i="42" s="1"/>
  <c r="F50" i="42"/>
  <c r="D47" i="41"/>
  <c r="E47" i="41"/>
  <c r="F48" i="41" s="1"/>
  <c r="G51" i="42" l="1"/>
  <c r="E51" i="42"/>
  <c r="D52" i="42" s="1"/>
  <c r="F51" i="42"/>
  <c r="D48" i="41"/>
  <c r="G52" i="42" l="1"/>
  <c r="E52" i="42"/>
  <c r="G53" i="42" s="1"/>
  <c r="F52" i="42"/>
  <c r="E48" i="41"/>
  <c r="D49" i="41" s="1"/>
  <c r="D53" i="42" l="1"/>
  <c r="E53" i="42" s="1"/>
  <c r="G54" i="42" s="1"/>
  <c r="F49" i="41"/>
  <c r="E49" i="41"/>
  <c r="D50" i="41" s="1"/>
  <c r="F53" i="42" l="1"/>
  <c r="D54" i="42"/>
  <c r="E54" i="42" s="1"/>
  <c r="D55" i="42" s="1"/>
  <c r="F50" i="41"/>
  <c r="E50" i="41"/>
  <c r="D51" i="41" s="1"/>
  <c r="G55" i="42" l="1"/>
  <c r="F54" i="42"/>
  <c r="E55" i="42"/>
  <c r="G56" i="42" s="1"/>
  <c r="F55" i="42"/>
  <c r="F51" i="41"/>
  <c r="E51" i="41"/>
  <c r="D52" i="41" s="1"/>
  <c r="D56" i="42" l="1"/>
  <c r="E56" i="42"/>
  <c r="D57" i="42" s="1"/>
  <c r="F56" i="42"/>
  <c r="F52" i="41"/>
  <c r="E52" i="41"/>
  <c r="D53" i="41" s="1"/>
  <c r="G57" i="42" l="1"/>
  <c r="E57" i="42"/>
  <c r="G58" i="42" s="1"/>
  <c r="F57" i="42"/>
  <c r="F53" i="41"/>
  <c r="E53" i="41"/>
  <c r="D54" i="41" s="1"/>
  <c r="D58" i="42" l="1"/>
  <c r="F54" i="41"/>
  <c r="E54" i="41"/>
  <c r="D55" i="41" s="1"/>
  <c r="E58" i="42" l="1"/>
  <c r="G59" i="42" s="1"/>
  <c r="F58" i="42"/>
  <c r="F55" i="41"/>
  <c r="E55" i="41"/>
  <c r="D56" i="41" s="1"/>
  <c r="D59" i="42" l="1"/>
  <c r="F59" i="42" s="1"/>
  <c r="F56" i="41"/>
  <c r="E56" i="41"/>
  <c r="D57" i="41" s="1"/>
  <c r="E59" i="42" l="1"/>
  <c r="D60" i="42" s="1"/>
  <c r="F57" i="41"/>
  <c r="E57" i="41"/>
  <c r="D58" i="41" s="1"/>
  <c r="G60" i="42" l="1"/>
  <c r="E60" i="42"/>
  <c r="D61" i="42" s="1"/>
  <c r="F60" i="42"/>
  <c r="F58" i="41"/>
  <c r="E58" i="41"/>
  <c r="D59" i="41" s="1"/>
  <c r="G61" i="42" l="1"/>
  <c r="E61" i="42"/>
  <c r="D62" i="42" s="1"/>
  <c r="F61" i="42"/>
  <c r="F59" i="41"/>
  <c r="E59" i="41"/>
  <c r="D60" i="41" s="1"/>
  <c r="G62" i="42" l="1"/>
  <c r="E62" i="42"/>
  <c r="G63" i="42" s="1"/>
  <c r="F62" i="42"/>
  <c r="D63" i="42"/>
  <c r="F60" i="41"/>
  <c r="E60" i="41"/>
  <c r="D61" i="41" s="1"/>
  <c r="E63" i="42" l="1"/>
  <c r="D64" i="42" s="1"/>
  <c r="F63" i="42"/>
  <c r="F61" i="41"/>
  <c r="E61" i="41"/>
  <c r="D62" i="41" s="1"/>
  <c r="G64" i="42" l="1"/>
  <c r="E64" i="42"/>
  <c r="D65" i="42" s="1"/>
  <c r="F64" i="42"/>
  <c r="F62" i="41"/>
  <c r="E62" i="41"/>
  <c r="D63" i="41" s="1"/>
  <c r="G65" i="42" l="1"/>
  <c r="E65" i="42"/>
  <c r="D66" i="42" s="1"/>
  <c r="F65" i="42"/>
  <c r="F63" i="41"/>
  <c r="E63" i="41"/>
  <c r="D64" i="41" s="1"/>
  <c r="G66" i="42" l="1"/>
  <c r="E66" i="42"/>
  <c r="D67" i="42" s="1"/>
  <c r="F66" i="42"/>
  <c r="F64" i="41"/>
  <c r="E64" i="41"/>
  <c r="D65" i="41" s="1"/>
  <c r="G67" i="42" l="1"/>
  <c r="E67" i="42"/>
  <c r="G68" i="42" s="1"/>
  <c r="F67" i="42"/>
  <c r="D68" i="42"/>
  <c r="F65" i="41"/>
  <c r="E65" i="41"/>
  <c r="D66" i="41" s="1"/>
  <c r="E68" i="42" l="1"/>
  <c r="D69" i="42" s="1"/>
  <c r="F68" i="42"/>
  <c r="F66" i="41"/>
  <c r="E66" i="41"/>
  <c r="D67" i="41" s="1"/>
  <c r="G69" i="42" l="1"/>
  <c r="E69" i="42"/>
  <c r="G70" i="42" s="1"/>
  <c r="F69" i="42"/>
  <c r="D70" i="42"/>
  <c r="F67" i="41"/>
  <c r="E67" i="41"/>
  <c r="D68" i="41" s="1"/>
  <c r="E70" i="42" l="1"/>
  <c r="D71" i="42" s="1"/>
  <c r="F70" i="42"/>
  <c r="F68" i="41"/>
  <c r="E68" i="41"/>
  <c r="D69" i="41" s="1"/>
  <c r="G71" i="42" l="1"/>
  <c r="E71" i="42"/>
  <c r="D72" i="42" s="1"/>
  <c r="F71" i="42"/>
  <c r="F69" i="41"/>
  <c r="E69" i="41"/>
  <c r="D70" i="41" s="1"/>
  <c r="G72" i="42" l="1"/>
  <c r="E72" i="42"/>
  <c r="G73" i="42" s="1"/>
  <c r="F72" i="42"/>
  <c r="F70" i="41"/>
  <c r="E70" i="41"/>
  <c r="D71" i="41" s="1"/>
  <c r="D73" i="42" l="1"/>
  <c r="E73" i="42" s="1"/>
  <c r="G74" i="42" s="1"/>
  <c r="F73" i="42"/>
  <c r="F71" i="41"/>
  <c r="E71" i="41"/>
  <c r="D72" i="41" s="1"/>
  <c r="D74" i="42" l="1"/>
  <c r="E74" i="42" s="1"/>
  <c r="D75" i="42" s="1"/>
  <c r="F72" i="41"/>
  <c r="E72" i="41"/>
  <c r="D73" i="41" s="1"/>
  <c r="F74" i="42" l="1"/>
  <c r="G75" i="42"/>
  <c r="E75" i="42"/>
  <c r="D76" i="42" s="1"/>
  <c r="F75" i="42"/>
  <c r="F73" i="41"/>
  <c r="E73" i="41"/>
  <c r="D74" i="41" s="1"/>
  <c r="G76" i="42" l="1"/>
  <c r="E76" i="42"/>
  <c r="G77" i="42" s="1"/>
  <c r="F76" i="42"/>
  <c r="F74" i="41"/>
  <c r="E74" i="41"/>
  <c r="D75" i="41" s="1"/>
  <c r="D77" i="42" l="1"/>
  <c r="F75" i="41"/>
  <c r="E75" i="41"/>
  <c r="D76" i="41" s="1"/>
  <c r="E77" i="42" l="1"/>
  <c r="G78" i="42" s="1"/>
  <c r="F77" i="42"/>
  <c r="F76" i="41"/>
  <c r="E76" i="41"/>
  <c r="D77" i="41" s="1"/>
  <c r="D78" i="42" l="1"/>
  <c r="F77" i="41"/>
  <c r="E77" i="41"/>
  <c r="D78" i="41" s="1"/>
  <c r="E78" i="42" l="1"/>
  <c r="G79" i="42" s="1"/>
  <c r="F78" i="42"/>
  <c r="F78" i="41"/>
  <c r="E78" i="41"/>
  <c r="D79" i="41" s="1"/>
  <c r="D79" i="42" l="1"/>
  <c r="E79" i="42" s="1"/>
  <c r="G80" i="42" s="1"/>
  <c r="F79" i="41"/>
  <c r="E79" i="41"/>
  <c r="D80" i="41" s="1"/>
  <c r="F79" i="42" l="1"/>
  <c r="D80" i="42"/>
  <c r="F80" i="41"/>
  <c r="E80" i="41"/>
  <c r="D81" i="41" s="1"/>
  <c r="E80" i="42" l="1"/>
  <c r="G81" i="42" s="1"/>
  <c r="F80" i="42"/>
  <c r="F81" i="41"/>
  <c r="E81" i="41"/>
  <c r="D82" i="41" s="1"/>
  <c r="D81" i="42" l="1"/>
  <c r="E81" i="42" s="1"/>
  <c r="D82" i="42" s="1"/>
  <c r="F82" i="41"/>
  <c r="E82" i="41"/>
  <c r="D83" i="41" s="1"/>
  <c r="F81" i="42" l="1"/>
  <c r="G82" i="42"/>
  <c r="E82" i="42"/>
  <c r="G83" i="42" s="1"/>
  <c r="F82" i="42"/>
  <c r="D83" i="42"/>
  <c r="F83" i="41"/>
  <c r="E83" i="41"/>
  <c r="D84" i="41" s="1"/>
  <c r="E83" i="42" l="1"/>
  <c r="G84" i="42" s="1"/>
  <c r="F83" i="42"/>
  <c r="D84" i="42"/>
  <c r="F84" i="41"/>
  <c r="E84" i="41"/>
  <c r="D85" i="41" s="1"/>
  <c r="E84" i="42" l="1"/>
  <c r="G85" i="42" s="1"/>
  <c r="F84" i="42"/>
  <c r="F85" i="41"/>
  <c r="E85" i="41"/>
  <c r="D86" i="41" s="1"/>
  <c r="D85" i="42" l="1"/>
  <c r="E85" i="42" s="1"/>
  <c r="G86" i="42" s="1"/>
  <c r="F86" i="41"/>
  <c r="E86" i="41"/>
  <c r="D87" i="41" s="1"/>
  <c r="D86" i="42" l="1"/>
  <c r="F85" i="42"/>
  <c r="E86" i="42"/>
  <c r="G87" i="42" s="1"/>
  <c r="F86" i="42"/>
  <c r="F87" i="41"/>
  <c r="E87" i="41"/>
  <c r="D88" i="41" s="1"/>
  <c r="D87" i="42" l="1"/>
  <c r="E87" i="42"/>
  <c r="G88" i="42" s="1"/>
  <c r="F87" i="42"/>
  <c r="D88" i="42"/>
  <c r="F88" i="41"/>
  <c r="E88" i="41"/>
  <c r="D89" i="41" s="1"/>
  <c r="E88" i="42" l="1"/>
  <c r="G89" i="42" s="1"/>
  <c r="F88" i="42"/>
  <c r="D89" i="42"/>
  <c r="F89" i="41"/>
  <c r="E89" i="41"/>
  <c r="D90" i="41" s="1"/>
  <c r="E89" i="42" l="1"/>
  <c r="D90" i="42" s="1"/>
  <c r="F89" i="42"/>
  <c r="F90" i="41"/>
  <c r="E90" i="41"/>
  <c r="D91" i="41" s="1"/>
  <c r="G90" i="42" l="1"/>
  <c r="E90" i="42"/>
  <c r="G91" i="42" s="1"/>
  <c r="F90" i="42"/>
  <c r="D91" i="42"/>
  <c r="F91" i="41"/>
  <c r="E91" i="41"/>
  <c r="D92" i="41" s="1"/>
  <c r="E91" i="42" l="1"/>
  <c r="G92" i="42" s="1"/>
  <c r="F91" i="42"/>
  <c r="F92" i="41"/>
  <c r="E92" i="41"/>
  <c r="D92" i="42" l="1"/>
  <c r="E92" i="42" s="1"/>
  <c r="G93" i="42" s="1"/>
  <c r="F97" i="41"/>
  <c r="F92" i="42" l="1"/>
  <c r="D93" i="42"/>
  <c r="E93" i="42" s="1"/>
  <c r="D8" i="41" a="1"/>
  <c r="D8" i="41" s="1"/>
  <c r="D7" i="41"/>
  <c r="F98" i="41"/>
  <c r="F99" i="41"/>
  <c r="F96" i="41"/>
  <c r="F95" i="41"/>
  <c r="F100" i="41"/>
  <c r="F93" i="42" l="1"/>
  <c r="G94" i="42"/>
  <c r="D94" i="42"/>
  <c r="E94" i="42" s="1"/>
  <c r="D95" i="42" s="1"/>
  <c r="F94" i="42" l="1"/>
  <c r="G95" i="42"/>
  <c r="E95" i="42"/>
  <c r="G96" i="42" s="1"/>
  <c r="F95" i="42"/>
  <c r="G101" i="42" s="1"/>
  <c r="G100" i="42"/>
  <c r="G99" i="42"/>
  <c r="G98" i="42"/>
  <c r="G97" i="42"/>
  <c r="D8" i="42" l="1"/>
  <c r="D9" i="42" a="1"/>
  <c r="D9" i="42" s="1"/>
  <c r="C89" i="38" l="1" a="1"/>
  <c r="C89" i="38" s="1"/>
  <c r="C7" i="38"/>
  <c r="C8" i="38"/>
  <c r="C9" i="38"/>
  <c r="C10" i="38"/>
  <c r="D12" i="38" s="1"/>
  <c r="C11" i="38"/>
  <c r="C12" i="38"/>
  <c r="D14" i="38" s="1"/>
  <c r="C13" i="38"/>
  <c r="D15" i="38" s="1"/>
  <c r="C14" i="38"/>
  <c r="C15" i="38"/>
  <c r="C16" i="38"/>
  <c r="C17" i="38"/>
  <c r="C18" i="38"/>
  <c r="D19" i="38" s="1"/>
  <c r="C19" i="38"/>
  <c r="C20" i="38"/>
  <c r="C21" i="38"/>
  <c r="C22" i="38"/>
  <c r="C23" i="38"/>
  <c r="C24" i="38"/>
  <c r="C25" i="38"/>
  <c r="C26" i="38"/>
  <c r="C27" i="38"/>
  <c r="C28" i="38"/>
  <c r="C29" i="38"/>
  <c r="C30" i="38"/>
  <c r="D31" i="38" s="1"/>
  <c r="C31" i="38"/>
  <c r="C32" i="38"/>
  <c r="C33" i="38"/>
  <c r="C34" i="38"/>
  <c r="C35" i="38"/>
  <c r="C36" i="38"/>
  <c r="C37" i="38"/>
  <c r="C38" i="38"/>
  <c r="C39" i="38"/>
  <c r="C40" i="38"/>
  <c r="C41" i="38"/>
  <c r="C42" i="38"/>
  <c r="C43" i="38"/>
  <c r="C44" i="38"/>
  <c r="C45" i="38"/>
  <c r="C46" i="38"/>
  <c r="D47" i="38" s="1"/>
  <c r="C47" i="38"/>
  <c r="C48" i="38"/>
  <c r="C49" i="38"/>
  <c r="C50" i="38"/>
  <c r="C51" i="38"/>
  <c r="C52" i="38"/>
  <c r="C53" i="38"/>
  <c r="C54" i="38"/>
  <c r="C55" i="38"/>
  <c r="C56" i="38"/>
  <c r="C57" i="38"/>
  <c r="C58" i="38"/>
  <c r="C59" i="38"/>
  <c r="C60" i="38"/>
  <c r="C61" i="38"/>
  <c r="C62" i="38"/>
  <c r="D63" i="38" s="1"/>
  <c r="C63" i="38"/>
  <c r="C64" i="38"/>
  <c r="C65" i="38"/>
  <c r="C66" i="38"/>
  <c r="C67" i="38"/>
  <c r="C68" i="38"/>
  <c r="C69" i="38"/>
  <c r="C70" i="38"/>
  <c r="C71" i="38"/>
  <c r="C72" i="38"/>
  <c r="C73" i="38"/>
  <c r="C74" i="38"/>
  <c r="C75" i="38"/>
  <c r="C76" i="38"/>
  <c r="C77" i="38"/>
  <c r="C78" i="38"/>
  <c r="D79" i="38" s="1"/>
  <c r="C79" i="38"/>
  <c r="C80" i="38"/>
  <c r="C81" i="38"/>
  <c r="C82" i="38"/>
  <c r="C83" i="38"/>
  <c r="C84" i="38"/>
  <c r="D85" i="38" s="1"/>
  <c r="C85" i="38"/>
  <c r="C86" i="38"/>
  <c r="C6" i="38"/>
  <c r="D8" i="38" s="1"/>
  <c r="C84" i="36"/>
  <c r="C80" i="36"/>
  <c r="C76" i="36"/>
  <c r="C72" i="36"/>
  <c r="C68" i="36"/>
  <c r="C64" i="36"/>
  <c r="C60" i="36"/>
  <c r="C56" i="36"/>
  <c r="C52" i="36"/>
  <c r="C48" i="36"/>
  <c r="C44" i="36"/>
  <c r="C40" i="36"/>
  <c r="C36" i="36"/>
  <c r="C32" i="36"/>
  <c r="C28" i="36"/>
  <c r="C24" i="36"/>
  <c r="C20" i="36"/>
  <c r="C16" i="36"/>
  <c r="C12" i="36"/>
  <c r="C8" i="36"/>
  <c r="H29" i="35"/>
  <c r="H4" i="35"/>
  <c r="D12" i="35"/>
  <c r="D32" i="35"/>
  <c r="D76" i="35"/>
  <c r="D84" i="35"/>
  <c r="D80" i="35"/>
  <c r="D72" i="35"/>
  <c r="D68" i="35"/>
  <c r="D64" i="35"/>
  <c r="D60" i="35"/>
  <c r="D56" i="35"/>
  <c r="D52" i="35"/>
  <c r="D48" i="35"/>
  <c r="D44" i="35"/>
  <c r="D40" i="35"/>
  <c r="D36" i="35"/>
  <c r="D28" i="35"/>
  <c r="D24" i="35"/>
  <c r="D20" i="35"/>
  <c r="D16" i="35"/>
  <c r="D8" i="35"/>
  <c r="D88" i="38" l="1"/>
  <c r="D87" i="38"/>
  <c r="D89" i="38"/>
  <c r="D13" i="38"/>
  <c r="D46" i="38"/>
  <c r="D60" i="38"/>
  <c r="D44" i="38"/>
  <c r="D28" i="38"/>
  <c r="D11" i="38"/>
  <c r="D77" i="38"/>
  <c r="D25" i="38"/>
  <c r="D10" i="38"/>
  <c r="D9" i="38"/>
  <c r="D29" i="38"/>
  <c r="D26" i="38"/>
  <c r="D71" i="38"/>
  <c r="D55" i="38"/>
  <c r="D39" i="38"/>
  <c r="D23" i="38"/>
  <c r="D36" i="38"/>
  <c r="D21" i="38"/>
  <c r="D30" i="38"/>
  <c r="D42" i="38"/>
  <c r="D72" i="38"/>
  <c r="D40" i="38"/>
  <c r="D53" i="38"/>
  <c r="D83" i="38"/>
  <c r="D67" i="38"/>
  <c r="D51" i="38"/>
  <c r="D35" i="38"/>
  <c r="D20" i="38"/>
  <c r="D61" i="38"/>
  <c r="D74" i="38"/>
  <c r="D57" i="38"/>
  <c r="D69" i="38"/>
  <c r="D52" i="38"/>
  <c r="D62" i="38"/>
  <c r="D76" i="38"/>
  <c r="D41" i="38"/>
  <c r="D56" i="38"/>
  <c r="D22" i="38"/>
  <c r="D68" i="38"/>
  <c r="D81" i="38"/>
  <c r="D65" i="38"/>
  <c r="D49" i="38"/>
  <c r="D33" i="38"/>
  <c r="D16" i="38"/>
  <c r="D78" i="38"/>
  <c r="D45" i="38"/>
  <c r="D58" i="38"/>
  <c r="D73" i="38"/>
  <c r="D24" i="38"/>
  <c r="D37" i="38"/>
  <c r="D84" i="38"/>
  <c r="D80" i="38"/>
  <c r="D64" i="38"/>
  <c r="D48" i="38"/>
  <c r="D32" i="38"/>
  <c r="D17" i="38"/>
  <c r="D70" i="38"/>
  <c r="D54" i="38"/>
  <c r="D38" i="38"/>
  <c r="D82" i="38"/>
  <c r="D66" i="38"/>
  <c r="D50" i="38"/>
  <c r="D34" i="38"/>
  <c r="D18" i="38"/>
  <c r="D75" i="38"/>
  <c r="D59" i="38"/>
  <c r="D43" i="38"/>
  <c r="D27" i="38"/>
  <c r="D86" i="38"/>
  <c r="D92" i="38"/>
  <c r="D91" i="38"/>
  <c r="D90" i="38"/>
  <c r="E18" i="43" l="1"/>
  <c r="D19" i="43" l="1"/>
  <c r="G19" i="43"/>
  <c r="E19" i="43" l="1"/>
  <c r="D20" i="43" s="1"/>
  <c r="F19" i="43"/>
  <c r="G20" i="43" l="1"/>
  <c r="E20" i="43"/>
  <c r="G21" i="43" s="1"/>
  <c r="F20" i="43"/>
  <c r="D21" i="43" l="1"/>
  <c r="F21" i="43" s="1"/>
  <c r="E21" i="43" l="1"/>
  <c r="G22" i="43" s="1"/>
  <c r="D22" i="43" l="1"/>
  <c r="F22" i="43" s="1"/>
  <c r="E22" i="43"/>
  <c r="G23" i="43" s="1"/>
  <c r="D23" i="43" l="1"/>
  <c r="F23" i="43" s="1"/>
  <c r="E23" i="43" l="1"/>
  <c r="G24" i="43" s="1"/>
  <c r="D24" i="43" l="1"/>
  <c r="F24" i="43" s="1"/>
  <c r="E24" i="43" l="1"/>
  <c r="D25" i="43" s="1"/>
  <c r="F25" i="43" s="1"/>
  <c r="G25" i="43" l="1"/>
  <c r="E25" i="43"/>
  <c r="D26" i="43" s="1"/>
  <c r="F26" i="43" s="1"/>
  <c r="G26" i="43" l="1"/>
  <c r="E26" i="43"/>
  <c r="D27" i="43" s="1"/>
  <c r="F27" i="43" s="1"/>
  <c r="G27" i="43" l="1"/>
  <c r="E27" i="43"/>
  <c r="D28" i="43" s="1"/>
  <c r="F28" i="43" s="1"/>
  <c r="G28" i="43" l="1"/>
  <c r="E28" i="43"/>
  <c r="D29" i="43" s="1"/>
  <c r="F29" i="43" s="1"/>
  <c r="G29" i="43" l="1"/>
  <c r="E29" i="43"/>
  <c r="D30" i="43" s="1"/>
  <c r="F30" i="43" s="1"/>
  <c r="G30" i="43" l="1"/>
  <c r="E30" i="43"/>
  <c r="D31" i="43" s="1"/>
  <c r="F31" i="43" s="1"/>
  <c r="G31" i="43" l="1"/>
  <c r="E31" i="43"/>
  <c r="D32" i="43" s="1"/>
  <c r="F32" i="43" s="1"/>
  <c r="G32" i="43" l="1"/>
  <c r="E32" i="43"/>
  <c r="D33" i="43" s="1"/>
  <c r="F33" i="43" s="1"/>
  <c r="G33" i="43" l="1"/>
  <c r="E33" i="43"/>
  <c r="D34" i="43" s="1"/>
  <c r="F34" i="43" s="1"/>
  <c r="G34" i="43" l="1"/>
  <c r="E34" i="43"/>
  <c r="D35" i="43" s="1"/>
  <c r="F35" i="43" s="1"/>
  <c r="G35" i="43" l="1"/>
  <c r="E35" i="43"/>
  <c r="D36" i="43" s="1"/>
  <c r="F36" i="43" s="1"/>
  <c r="G36" i="43" l="1"/>
  <c r="E36" i="43"/>
  <c r="D37" i="43" s="1"/>
  <c r="F37" i="43" s="1"/>
  <c r="G37" i="43" l="1"/>
  <c r="E37" i="43"/>
  <c r="D38" i="43" s="1"/>
  <c r="F38" i="43" s="1"/>
  <c r="G38" i="43" l="1"/>
  <c r="E38" i="43"/>
  <c r="D39" i="43" s="1"/>
  <c r="F39" i="43" s="1"/>
  <c r="G39" i="43" l="1"/>
  <c r="E39" i="43"/>
  <c r="D40" i="43" s="1"/>
  <c r="F40" i="43" s="1"/>
  <c r="G40" i="43" l="1"/>
  <c r="E40" i="43"/>
  <c r="D41" i="43" s="1"/>
  <c r="F41" i="43" s="1"/>
  <c r="G41" i="43" l="1"/>
  <c r="E41" i="43"/>
  <c r="D42" i="43" s="1"/>
  <c r="F42" i="43" s="1"/>
  <c r="G42" i="43" l="1"/>
  <c r="E42" i="43"/>
  <c r="D43" i="43" s="1"/>
  <c r="F43" i="43" s="1"/>
  <c r="G43" i="43" l="1"/>
  <c r="E43" i="43"/>
  <c r="D44" i="43" s="1"/>
  <c r="F44" i="43" s="1"/>
  <c r="G44" i="43" l="1"/>
  <c r="E44" i="43"/>
  <c r="D45" i="43" s="1"/>
  <c r="F45" i="43" s="1"/>
  <c r="G45" i="43" l="1"/>
  <c r="E45" i="43"/>
  <c r="D46" i="43" s="1"/>
  <c r="F46" i="43" s="1"/>
  <c r="G46" i="43" l="1"/>
  <c r="E46" i="43"/>
  <c r="D47" i="43" s="1"/>
  <c r="F47" i="43" s="1"/>
  <c r="G47" i="43" l="1"/>
  <c r="E47" i="43"/>
  <c r="D48" i="43" s="1"/>
  <c r="F48" i="43" s="1"/>
  <c r="G48" i="43" l="1"/>
  <c r="E48" i="43"/>
  <c r="D49" i="43" s="1"/>
  <c r="F49" i="43" s="1"/>
  <c r="G49" i="43" l="1"/>
  <c r="E49" i="43"/>
  <c r="D50" i="43" s="1"/>
  <c r="F50" i="43" s="1"/>
  <c r="G50" i="43" l="1"/>
  <c r="E50" i="43"/>
  <c r="D51" i="43" s="1"/>
  <c r="F51" i="43" s="1"/>
  <c r="G51" i="43" l="1"/>
  <c r="E51" i="43"/>
  <c r="D52" i="43" s="1"/>
  <c r="F52" i="43" s="1"/>
  <c r="G52" i="43" l="1"/>
  <c r="E52" i="43"/>
  <c r="D53" i="43" s="1"/>
  <c r="F53" i="43" s="1"/>
  <c r="G53" i="43" l="1"/>
  <c r="E53" i="43"/>
  <c r="D54" i="43" s="1"/>
  <c r="F54" i="43" s="1"/>
  <c r="G54" i="43" l="1"/>
  <c r="E54" i="43"/>
  <c r="D55" i="43" s="1"/>
  <c r="F55" i="43" s="1"/>
  <c r="G55" i="43" l="1"/>
  <c r="E55" i="43"/>
  <c r="D56" i="43" s="1"/>
  <c r="F56" i="43" s="1"/>
  <c r="G56" i="43" l="1"/>
  <c r="E56" i="43"/>
  <c r="D57" i="43" s="1"/>
  <c r="F57" i="43" s="1"/>
  <c r="G57" i="43" l="1"/>
  <c r="E57" i="43"/>
  <c r="D58" i="43" s="1"/>
  <c r="F58" i="43" s="1"/>
  <c r="G58" i="43" l="1"/>
  <c r="E58" i="43"/>
  <c r="D59" i="43" s="1"/>
  <c r="F59" i="43" s="1"/>
  <c r="G59" i="43" l="1"/>
  <c r="E59" i="43"/>
  <c r="D60" i="43" s="1"/>
  <c r="F60" i="43" s="1"/>
  <c r="G60" i="43" l="1"/>
  <c r="E60" i="43"/>
  <c r="D61" i="43" s="1"/>
  <c r="F61" i="43" s="1"/>
  <c r="G61" i="43" l="1"/>
  <c r="E61" i="43"/>
  <c r="D62" i="43" s="1"/>
  <c r="F62" i="43" s="1"/>
  <c r="G62" i="43" l="1"/>
  <c r="E62" i="43"/>
  <c r="D63" i="43" s="1"/>
  <c r="F63" i="43" s="1"/>
  <c r="G63" i="43" l="1"/>
  <c r="E63" i="43"/>
  <c r="D64" i="43" s="1"/>
  <c r="F64" i="43" s="1"/>
  <c r="G64" i="43" l="1"/>
  <c r="E64" i="43"/>
  <c r="D65" i="43" s="1"/>
  <c r="F65" i="43" s="1"/>
  <c r="G65" i="43" l="1"/>
  <c r="E65" i="43"/>
  <c r="D66" i="43" s="1"/>
  <c r="F66" i="43" s="1"/>
  <c r="G66" i="43" l="1"/>
  <c r="E66" i="43"/>
  <c r="D67" i="43" s="1"/>
  <c r="F67" i="43" s="1"/>
  <c r="G67" i="43" l="1"/>
  <c r="E67" i="43"/>
  <c r="D68" i="43" s="1"/>
  <c r="F68" i="43" s="1"/>
  <c r="G68" i="43" l="1"/>
  <c r="E68" i="43"/>
  <c r="D69" i="43" s="1"/>
  <c r="F69" i="43" s="1"/>
  <c r="G69" i="43" l="1"/>
  <c r="E69" i="43"/>
  <c r="D70" i="43" s="1"/>
  <c r="F70" i="43" s="1"/>
  <c r="G70" i="43" l="1"/>
  <c r="E70" i="43"/>
  <c r="D71" i="43" s="1"/>
  <c r="F71" i="43" s="1"/>
  <c r="G71" i="43" l="1"/>
  <c r="E71" i="43"/>
  <c r="D72" i="43" s="1"/>
  <c r="F72" i="43" s="1"/>
  <c r="G72" i="43" l="1"/>
  <c r="E72" i="43"/>
  <c r="D73" i="43" s="1"/>
  <c r="F73" i="43" s="1"/>
  <c r="G73" i="43" l="1"/>
  <c r="E73" i="43"/>
  <c r="D74" i="43" s="1"/>
  <c r="F74" i="43" s="1"/>
  <c r="G74" i="43" l="1"/>
  <c r="E74" i="43"/>
  <c r="D75" i="43" s="1"/>
  <c r="F75" i="43" s="1"/>
  <c r="G75" i="43" l="1"/>
  <c r="E75" i="43"/>
  <c r="D76" i="43" s="1"/>
  <c r="F76" i="43" s="1"/>
  <c r="G76" i="43" l="1"/>
  <c r="E76" i="43"/>
  <c r="D77" i="43" s="1"/>
  <c r="F77" i="43" s="1"/>
  <c r="G77" i="43" l="1"/>
  <c r="E77" i="43"/>
  <c r="D78" i="43" s="1"/>
  <c r="F78" i="43" s="1"/>
  <c r="G78" i="43" l="1"/>
  <c r="E78" i="43"/>
  <c r="D79" i="43" s="1"/>
  <c r="F79" i="43" s="1"/>
  <c r="G79" i="43" l="1"/>
  <c r="E79" i="43"/>
  <c r="D80" i="43" s="1"/>
  <c r="F80" i="43" s="1"/>
  <c r="G80" i="43" l="1"/>
  <c r="E80" i="43"/>
  <c r="D81" i="43" s="1"/>
  <c r="F81" i="43" s="1"/>
  <c r="G81" i="43" l="1"/>
  <c r="E81" i="43"/>
  <c r="D82" i="43" s="1"/>
  <c r="F82" i="43" s="1"/>
  <c r="G82" i="43" l="1"/>
  <c r="E82" i="43"/>
  <c r="D83" i="43" s="1"/>
  <c r="F83" i="43" s="1"/>
  <c r="G83" i="43" l="1"/>
  <c r="E83" i="43"/>
  <c r="D84" i="43" s="1"/>
  <c r="F84" i="43" s="1"/>
  <c r="G84" i="43" l="1"/>
  <c r="E84" i="43"/>
  <c r="D85" i="43" s="1"/>
  <c r="F85" i="43" s="1"/>
  <c r="G85" i="43" l="1"/>
  <c r="E85" i="43"/>
  <c r="D86" i="43" s="1"/>
  <c r="F86" i="43" s="1"/>
  <c r="G86" i="43" l="1"/>
  <c r="E86" i="43"/>
  <c r="D87" i="43" s="1"/>
  <c r="F87" i="43" s="1"/>
  <c r="G87" i="43" l="1"/>
  <c r="E87" i="43"/>
  <c r="D88" i="43" s="1"/>
  <c r="F88" i="43" s="1"/>
  <c r="G88" i="43" l="1"/>
  <c r="E88" i="43"/>
  <c r="D89" i="43" s="1"/>
  <c r="F89" i="43" s="1"/>
  <c r="G89" i="43" l="1"/>
  <c r="E89" i="43"/>
  <c r="D90" i="43" s="1"/>
  <c r="F90" i="43" s="1"/>
  <c r="G90" i="43" l="1"/>
  <c r="E90" i="43"/>
  <c r="D91" i="43" s="1"/>
  <c r="F91" i="43" s="1"/>
  <c r="G91" i="43" l="1"/>
  <c r="E91" i="43"/>
  <c r="D92" i="43" s="1"/>
  <c r="F92" i="43" s="1"/>
  <c r="G92" i="43" l="1"/>
  <c r="E92" i="43"/>
  <c r="D93" i="43" s="1"/>
  <c r="F93" i="43" s="1"/>
  <c r="G93" i="43" l="1"/>
  <c r="E93" i="43"/>
  <c r="D94" i="43" s="1"/>
  <c r="F94" i="43" s="1"/>
  <c r="G94" i="43" l="1"/>
  <c r="E94" i="43"/>
  <c r="G95" i="43" s="1"/>
  <c r="E9" i="43" l="1" a="1"/>
  <c r="E9" i="43" s="1"/>
  <c r="E8" i="43"/>
  <c r="D95" i="43"/>
  <c r="E95" i="43" l="1"/>
  <c r="G101" i="43" s="1"/>
  <c r="F95" i="43"/>
  <c r="G100" i="43" l="1"/>
  <c r="G99" i="43"/>
  <c r="G98" i="43"/>
  <c r="G97" i="43"/>
  <c r="G96" i="43"/>
  <c r="F126" i="34" l="1"/>
  <c r="E126" i="34"/>
  <c r="F85" i="34" l="1"/>
  <c r="F91" i="34" l="1"/>
  <c r="F153" i="34" l="1"/>
  <c r="G85" i="34" l="1"/>
  <c r="G116" i="34"/>
  <c r="G128" i="34" s="1"/>
  <c r="G91" i="34" l="1"/>
  <c r="G98" i="34" s="1"/>
  <c r="G153" i="34" l="1"/>
  <c r="H116" i="34"/>
  <c r="H128" i="34" s="1"/>
  <c r="H85" i="34"/>
  <c r="H91" i="34" l="1"/>
  <c r="H153" i="34"/>
  <c r="I85" i="34"/>
  <c r="I91" i="34" l="1"/>
  <c r="I98" i="34" s="1"/>
  <c r="I153" i="34" l="1"/>
  <c r="I116" i="34"/>
  <c r="I128" i="34" s="1"/>
  <c r="G130" i="34" l="1"/>
  <c r="H130" i="34" l="1"/>
  <c r="G137" i="34"/>
  <c r="G66" i="34"/>
  <c r="G136" i="34" l="1"/>
  <c r="H137" i="34"/>
  <c r="I130" i="34"/>
  <c r="H66" i="34"/>
  <c r="H136" i="34" l="1"/>
  <c r="H77" i="34"/>
  <c r="I137" i="34"/>
  <c r="I66" i="34"/>
  <c r="G147" i="34"/>
  <c r="G151" i="34"/>
  <c r="G152" i="34"/>
  <c r="G158" i="34" s="1"/>
  <c r="G159" i="34" s="1"/>
  <c r="I136" i="34" l="1"/>
  <c r="H151" i="34"/>
  <c r="H147" i="34"/>
  <c r="H152" i="34"/>
  <c r="H158" i="34" s="1"/>
  <c r="H159" i="34" s="1"/>
  <c r="I152" i="34" l="1"/>
  <c r="I158" i="34" s="1"/>
  <c r="I159" i="34" s="1"/>
  <c r="I151" i="34"/>
  <c r="I147" i="34"/>
  <c r="E66" i="34" l="1"/>
  <c r="E77" i="34" l="1"/>
  <c r="E152" i="34" l="1"/>
  <c r="E158" i="34" s="1"/>
  <c r="E159" i="34" s="1"/>
  <c r="E147" i="34"/>
  <c r="E98" i="34"/>
  <c r="E82" i="34" s="1"/>
  <c r="F115" i="34" l="1"/>
  <c r="F116" i="34" s="1"/>
  <c r="F128" i="34" s="1"/>
  <c r="F130" i="34" s="1"/>
  <c r="E115" i="34"/>
  <c r="E116" i="34" s="1"/>
  <c r="E85" i="34"/>
  <c r="E91" i="34" l="1"/>
  <c r="E151" i="34" s="1"/>
  <c r="E136" i="34"/>
  <c r="E137" i="34"/>
  <c r="F66" i="34"/>
  <c r="F137" i="34"/>
  <c r="F77" i="34" l="1"/>
  <c r="F136" i="34"/>
  <c r="E153" i="34"/>
  <c r="F152" i="34" l="1"/>
  <c r="F158" i="34" s="1"/>
  <c r="F159" i="34" s="1"/>
  <c r="F151" i="34"/>
  <c r="F147" i="34"/>
  <c r="C66" i="34"/>
  <c r="D66" i="34"/>
  <c r="D77" i="34" s="1"/>
  <c r="D136" i="34"/>
  <c r="E130" i="34"/>
  <c r="D137" i="34"/>
  <c r="D21" i="34"/>
  <c r="C61" i="34"/>
  <c r="C77" i="34" l="1"/>
  <c r="D151" i="34"/>
  <c r="D152" i="34"/>
  <c r="D158" i="34" s="1"/>
  <c r="D159" i="34" s="1"/>
  <c r="D147" i="3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<sst xmlns="http://schemas.openxmlformats.org/spreadsheetml/2006/main" count="437" uniqueCount="328">
  <si>
    <t>Date</t>
  </si>
  <si>
    <t>Sales</t>
  </si>
  <si>
    <t>CMA4</t>
  </si>
  <si>
    <t>Raw Seasonals</t>
  </si>
  <si>
    <t>Seasonal Index</t>
  </si>
  <si>
    <t>Alpha</t>
  </si>
  <si>
    <t>Level</t>
  </si>
  <si>
    <t>Trend</t>
  </si>
  <si>
    <t>Forecast</t>
  </si>
  <si>
    <t>Beta</t>
  </si>
  <si>
    <t>Seasonal</t>
  </si>
  <si>
    <t>Gamma</t>
  </si>
  <si>
    <t>Period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</si>
  <si>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</si>
  <si>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</si>
  <si>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</si>
  <si>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</si>
  <si>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</si>
  <si>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</si>
  <si>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</si>
  <si>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</si>
  <si>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</si>
  <si>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</si>
  <si>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</si>
  <si>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</si>
  <si>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</si>
  <si>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</si>
  <si>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</si>
  <si>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</si>
  <si>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</si>
  <si>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</si>
  <si>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</si>
  <si>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</si>
  <si>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</si>
  <si>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</si>
  <si>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Fit</t>
  </si>
  <si>
    <t>Q1</t>
  </si>
  <si>
    <t>Q2</t>
  </si>
  <si>
    <t>Q3</t>
  </si>
  <si>
    <t>Raw Factors</t>
  </si>
  <si>
    <t>Quarter</t>
  </si>
  <si>
    <t>Lower Confidence Bound</t>
  </si>
  <si>
    <t>Upper Confidence Bound</t>
  </si>
  <si>
    <t>Q Sales</t>
  </si>
  <si>
    <t>Y Sales</t>
  </si>
  <si>
    <t>Lower 95.0%</t>
  </si>
  <si>
    <t>Upper 95.0%</t>
  </si>
  <si>
    <t>% of sales</t>
  </si>
  <si>
    <t>Total net sales</t>
  </si>
  <si>
    <t>Less Cost of sales</t>
  </si>
  <si>
    <t>Less Operating expenses:</t>
  </si>
  <si>
    <t>Net Income</t>
  </si>
  <si>
    <t>Current assets:</t>
  </si>
  <si>
    <t>Non-current assets:</t>
  </si>
  <si>
    <t>Current liabilities:</t>
  </si>
  <si>
    <t>Non-current liabilities:</t>
  </si>
  <si>
    <t>Operating:</t>
  </si>
  <si>
    <t>Change in Deferred revenue</t>
  </si>
  <si>
    <t xml:space="preserve">   Cash Flow from Operations</t>
  </si>
  <si>
    <t>Investing:</t>
  </si>
  <si>
    <t xml:space="preserve">   Cash Flow from Investing</t>
  </si>
  <si>
    <t>Financing:</t>
  </si>
  <si>
    <t xml:space="preserve">   Cash Flow from Financing</t>
  </si>
  <si>
    <t>Net Quarterly Cash Flow</t>
  </si>
  <si>
    <t>Beginning Cash</t>
  </si>
  <si>
    <t>Ending Cash</t>
  </si>
  <si>
    <t>Shareholder's Equity:</t>
  </si>
  <si>
    <t>2. Balance sheet (B/S), as of quarter end</t>
  </si>
  <si>
    <t>1. Liquidity (Safety)</t>
  </si>
  <si>
    <t xml:space="preserve">2. Productivity (Efficiency)
</t>
  </si>
  <si>
    <t>3. Profitability (Performance)</t>
  </si>
  <si>
    <t>5. DuPont Analysis. (ROE break-down)</t>
  </si>
  <si>
    <t>4. Insolvency (Leverage)</t>
  </si>
  <si>
    <t>1. Income Statement for the quarter ended</t>
  </si>
  <si>
    <t xml:space="preserve">3. Statement of Cash Flows, for the quarter ended </t>
  </si>
  <si>
    <t>Final Project. Forecasted Financial Statements and Comparative Analysis</t>
  </si>
  <si>
    <t>1. Forecasting Assumptions.</t>
  </si>
  <si>
    <t>Part III. Compariative Analysis with Ratios.</t>
  </si>
  <si>
    <t xml:space="preserve">   a. Current ratio</t>
  </si>
  <si>
    <t xml:space="preserve">   b. Quick ratio</t>
  </si>
  <si>
    <t xml:space="preserve">   c. Accounts Receivable Turnover</t>
  </si>
  <si>
    <t xml:space="preserve">   d. Days in Receivable</t>
  </si>
  <si>
    <t xml:space="preserve">   a. Inventory Turnover</t>
  </si>
  <si>
    <t xml:space="preserve">   b. Days in Inventory</t>
  </si>
  <si>
    <t xml:space="preserve">   c. Total Asset Turnover</t>
  </si>
  <si>
    <t xml:space="preserve">   d. Total Fixed Asset Turnover</t>
  </si>
  <si>
    <t xml:space="preserve">   a. Operating profit margin (%)</t>
  </si>
  <si>
    <t xml:space="preserve">   b. Return on Asset (%)</t>
  </si>
  <si>
    <t xml:space="preserve">   c. Return on Sales, net profit margin (%)</t>
  </si>
  <si>
    <t xml:space="preserve">   d. Return on Equity (%)</t>
  </si>
  <si>
    <t xml:space="preserve">   a. Debt Ratio</t>
  </si>
  <si>
    <t xml:space="preserve">   b. Asset to Equity (Equity Multiplier)</t>
  </si>
  <si>
    <t xml:space="preserve">   c. Current Liabilities to Total Debt Ratio</t>
  </si>
  <si>
    <t xml:space="preserve">   d. Interest Coverage</t>
  </si>
  <si>
    <t xml:space="preserve">   a. Return on Sales, net profit margin (%)</t>
  </si>
  <si>
    <t xml:space="preserve">   b. Asset Turnover</t>
  </si>
  <si>
    <t xml:space="preserve">   c. Asset to Equity</t>
  </si>
  <si>
    <t>Actual</t>
  </si>
  <si>
    <t>Cost of Sales</t>
  </si>
  <si>
    <t>Fiscal QTR</t>
  </si>
  <si>
    <t>Sales Reconstruction</t>
  </si>
  <si>
    <t>Mean Squared Error (MSE)</t>
  </si>
  <si>
    <t>Mean Absolute % Error (MAPE)</t>
  </si>
  <si>
    <t xml:space="preserve">  Sales</t>
  </si>
  <si>
    <t>Error Trend Seasonal (ETS) for Scenario Analysis</t>
  </si>
  <si>
    <t>net PPE</t>
  </si>
  <si>
    <t>Forecasting Variable Costs (% of Sales Method) &amp; Fixed Investment or Fixed Expense (Trend Method)</t>
  </si>
  <si>
    <t xml:space="preserve">   Property, plant and equipment, net</t>
  </si>
  <si>
    <t>Exp Smoothing</t>
  </si>
  <si>
    <t>Sales Forecasting</t>
  </si>
  <si>
    <t>Sensitivity Factors &amp; Forecast Error</t>
  </si>
  <si>
    <t>Normalized Seaonal Index</t>
  </si>
  <si>
    <t xml:space="preserve">   Total liabilities</t>
  </si>
  <si>
    <t xml:space="preserve">   Total assets</t>
  </si>
  <si>
    <t>Fiscal Q</t>
  </si>
  <si>
    <t>Forecasted –—&gt;</t>
  </si>
  <si>
    <t>: A wrong ST financial planning application for a firm if it has Seasonality</t>
  </si>
  <si>
    <t>A. Data</t>
  </si>
  <si>
    <t>B. Seasonal Index</t>
  </si>
  <si>
    <t>Irregularity Index</t>
  </si>
  <si>
    <t>Trend CMA4</t>
  </si>
  <si>
    <t>Weighted Sales Level</t>
  </si>
  <si>
    <t>*All figures in thousands of dollars (USD)</t>
  </si>
  <si>
    <t>Proejct Company: ULTA Beauty</t>
  </si>
  <si>
    <t>Financial Analyst: Carolina Galindo Mendoza</t>
  </si>
  <si>
    <t>FQ 1Q06</t>
  </si>
  <si>
    <t>FQ 2Q06</t>
  </si>
  <si>
    <t>FQ 3Q06</t>
  </si>
  <si>
    <t>FQ 4Q06</t>
  </si>
  <si>
    <t>FQ 1Q07</t>
  </si>
  <si>
    <t>FQ 2Q07</t>
  </si>
  <si>
    <t>FQ 3Q07</t>
  </si>
  <si>
    <t>FQ 4Q07</t>
  </si>
  <si>
    <t>FQ 1Q08</t>
  </si>
  <si>
    <t>FQ 2Q08</t>
  </si>
  <si>
    <t>FQ 3Q08</t>
  </si>
  <si>
    <t>FQ 4Q08</t>
  </si>
  <si>
    <t>FQ 1Q09</t>
  </si>
  <si>
    <t>FQ 2Q09</t>
  </si>
  <si>
    <t>FQ 3Q09</t>
  </si>
  <si>
    <t>FQ 4Q09</t>
  </si>
  <si>
    <t>FQ 1Q10</t>
  </si>
  <si>
    <t>FQ 2Q10</t>
  </si>
  <si>
    <t>FQ 3Q10</t>
  </si>
  <si>
    <t>FQ 4Q10</t>
  </si>
  <si>
    <t>FQ 1Q11</t>
  </si>
  <si>
    <t>FQ 2Q11</t>
  </si>
  <si>
    <t>FQ 3Q11</t>
  </si>
  <si>
    <t>FQ 4Q11</t>
  </si>
  <si>
    <t>FQ 1Q12</t>
  </si>
  <si>
    <t>FQ 2Q12</t>
  </si>
  <si>
    <t>FQ 3Q12</t>
  </si>
  <si>
    <t>FQ 4Q12</t>
  </si>
  <si>
    <t>FQ 1Q13</t>
  </si>
  <si>
    <t>FQ 2Q13</t>
  </si>
  <si>
    <t>FQ 3Q13</t>
  </si>
  <si>
    <t>FQ 4Q13</t>
  </si>
  <si>
    <t>FQ 1Q14</t>
  </si>
  <si>
    <t>FQ 2Q14</t>
  </si>
  <si>
    <t>FQ 3Q14</t>
  </si>
  <si>
    <t>FQ 4Q14</t>
  </si>
  <si>
    <t>FQ 1Q15</t>
  </si>
  <si>
    <t>FQ 2Q15</t>
  </si>
  <si>
    <t>FQ 3Q15</t>
  </si>
  <si>
    <t>FQ 4Q15</t>
  </si>
  <si>
    <t>FQ 1Q16</t>
  </si>
  <si>
    <t>FQ 2Q16</t>
  </si>
  <si>
    <t>FQ 3Q16</t>
  </si>
  <si>
    <t>FQ 4Q16</t>
  </si>
  <si>
    <t>FQ 1Q17</t>
  </si>
  <si>
    <t>FQ 2Q17</t>
  </si>
  <si>
    <t>FQ 3Q17</t>
  </si>
  <si>
    <t>FQ 4Q17</t>
  </si>
  <si>
    <t>FQ 1Q18</t>
  </si>
  <si>
    <t>FQ 2Q18</t>
  </si>
  <si>
    <t>FQ 3Q18</t>
  </si>
  <si>
    <t>FQ 4Q18</t>
  </si>
  <si>
    <t>FQ 1Q19</t>
  </si>
  <si>
    <t>FQ 2Q19</t>
  </si>
  <si>
    <t>FQ 3Q19</t>
  </si>
  <si>
    <t>FQ 4Q19</t>
  </si>
  <si>
    <t>FQ 1Q20</t>
  </si>
  <si>
    <t>FQ 2Q20</t>
  </si>
  <si>
    <t>FQ 3Q20</t>
  </si>
  <si>
    <t>FQ 4Q20</t>
  </si>
  <si>
    <t>FQ 1Q21</t>
  </si>
  <si>
    <t>FQ 2Q21</t>
  </si>
  <si>
    <t>FQ 3Q21</t>
  </si>
  <si>
    <t>FQ 4Q21</t>
  </si>
  <si>
    <t>FQ 1Q22</t>
  </si>
  <si>
    <t>FQ 2Q22</t>
  </si>
  <si>
    <t>FQ 3Q22</t>
  </si>
  <si>
    <t>FQ 4Q22</t>
  </si>
  <si>
    <t>FQ 1Q23</t>
  </si>
  <si>
    <t>FQ 2Q23</t>
  </si>
  <si>
    <t>FQ 3Q23</t>
  </si>
  <si>
    <t>FQ 4Q23</t>
  </si>
  <si>
    <t>FQ 1Q24</t>
  </si>
  <si>
    <t>FQ 2Q24</t>
  </si>
  <si>
    <t>FQ 3Q24</t>
  </si>
  <si>
    <t>FQ 4Q24</t>
  </si>
  <si>
    <t>FQ 1Q25</t>
  </si>
  <si>
    <t>FQ 2Q25</t>
  </si>
  <si>
    <t>FQ 3Q25</t>
  </si>
  <si>
    <t>FQ 4Q25</t>
  </si>
  <si>
    <t>FQ 1Q26</t>
  </si>
  <si>
    <t>FQ 2Q26</t>
  </si>
  <si>
    <t>ULTA Beauty Quarterly Sales (Actual)</t>
  </si>
  <si>
    <t>*All figures in thousands of dollars</t>
  </si>
  <si>
    <t>Q4 FY26</t>
  </si>
  <si>
    <t>ULTA Quarter Sales Forecasting: Trend Method (Central Moving Average)</t>
  </si>
  <si>
    <t>Part I. Assumption Table ($ thousand, %)</t>
  </si>
  <si>
    <t xml:space="preserve">ULTA Quarter Sales Components: Trend, Seasonality, &amp; Irregularity </t>
  </si>
  <si>
    <t>ULTA Q Sales Forecasting: Exponential Smoothing Method</t>
  </si>
  <si>
    <t>ULTA Q Sales Forecasting: Holt-Winters Additive Seasonal (HWAS) Model</t>
  </si>
  <si>
    <t>ULTA Q Sales Forecasting: Holt's Linear Trend Exponential Smoothing Method</t>
  </si>
  <si>
    <t xml:space="preserve">   Sales forecasted ($ thousands)</t>
  </si>
  <si>
    <t>2026 FYQ4</t>
  </si>
  <si>
    <t>2027 FYQ1</t>
  </si>
  <si>
    <t>2027 FYQ2</t>
  </si>
  <si>
    <t>No data found.</t>
  </si>
  <si>
    <t>ULTA Q Sales Forecasting: Holt-Winters Multiplicative Seasonal (HWMS) Model</t>
  </si>
  <si>
    <t>ULTA Q Sales Forecasting: Time Series Regression Model</t>
  </si>
  <si>
    <t>Part II. Financial Planning with Forecasted Financial Statements ($ thousand)</t>
  </si>
  <si>
    <t>Net Property, Plant and Equipment</t>
  </si>
  <si>
    <t>Total Shareholders’ Equity</t>
  </si>
  <si>
    <t>Gross profit</t>
  </si>
  <si>
    <t>FQ 3Q26</t>
  </si>
  <si>
    <t>Q1 FY27</t>
  </si>
  <si>
    <t>2026 FYQ3 Actual</t>
  </si>
  <si>
    <t>2027 FYQ3</t>
  </si>
  <si>
    <t xml:space="preserve">      Total Operating Expenses</t>
  </si>
  <si>
    <t xml:space="preserve">      Income before equity net loss of affiliate</t>
  </si>
  <si>
    <t>Less equity net loss of affiliate</t>
  </si>
  <si>
    <t>Balance Sheet accounts</t>
  </si>
  <si>
    <t>Comprehensive Income Statement items</t>
  </si>
  <si>
    <t>2027 FYQ4</t>
  </si>
  <si>
    <t>Q2 FY27</t>
  </si>
  <si>
    <t>Q3 FY27</t>
  </si>
  <si>
    <t>Q4 FY27</t>
  </si>
  <si>
    <t>Less Total Accumulated Depreciation and Impairment</t>
  </si>
  <si>
    <t xml:space="preserve">   Depreciation (% of fixed assets)</t>
  </si>
  <si>
    <t xml:space="preserve">      Total liabilities and shareholders' equity</t>
  </si>
  <si>
    <t xml:space="preserve">   Depreciation</t>
  </si>
  <si>
    <t xml:space="preserve">   Equity net loss of affiliate ($ in thousands)</t>
  </si>
  <si>
    <t>Provission for Income tax</t>
  </si>
  <si>
    <t>Operating Profit</t>
  </si>
  <si>
    <t>Net Income (Profit after tax)</t>
  </si>
  <si>
    <t xml:space="preserve">      Other (Non-Operating) Expenses</t>
  </si>
  <si>
    <t>Pretax Income</t>
  </si>
  <si>
    <t>Income tax</t>
  </si>
  <si>
    <t xml:space="preserve">   Income tax ($ in thousands)</t>
  </si>
  <si>
    <t>Total Operating Exp.</t>
  </si>
  <si>
    <t>Other (Non-Operating) Expenses</t>
  </si>
  <si>
    <t>Less Income tax</t>
  </si>
  <si>
    <t xml:space="preserve">   Cost of Sales ($ in tousands)</t>
  </si>
  <si>
    <t xml:space="preserve">   Total Operating Exp. ($ in tousands)</t>
  </si>
  <si>
    <t xml:space="preserve">   Other (Non-Operating) Expenses ($ in tousands)</t>
  </si>
  <si>
    <t>Gross Property, Plant and Equipment</t>
  </si>
  <si>
    <t>Operating lease assets</t>
  </si>
  <si>
    <t>Goodwill</t>
  </si>
  <si>
    <t>Other intangible assets, net</t>
  </si>
  <si>
    <t>Deferred compensation plan assets</t>
  </si>
  <si>
    <t>Other long-term assets</t>
  </si>
  <si>
    <t xml:space="preserve">   Cash and cash equivalents</t>
  </si>
  <si>
    <t xml:space="preserve">   Merchandise inventories, net</t>
  </si>
  <si>
    <t xml:space="preserve">   Receivables, net</t>
  </si>
  <si>
    <t xml:space="preserve">   Prepaid expenses and other current assets</t>
  </si>
  <si>
    <t xml:space="preserve">   Prepaid income taxes</t>
  </si>
  <si>
    <t>Total current assets</t>
  </si>
  <si>
    <t xml:space="preserve">   Accounts payable</t>
  </si>
  <si>
    <t xml:space="preserve">   Deferred revenue</t>
  </si>
  <si>
    <t xml:space="preserve">   Current operating lease liabilities</t>
  </si>
  <si>
    <t xml:space="preserve">   Accrude income taxes</t>
  </si>
  <si>
    <t xml:space="preserve">   Short-term debt</t>
  </si>
  <si>
    <t>Total current liabilities</t>
  </si>
  <si>
    <t>Non-current operating lease liabilities</t>
  </si>
  <si>
    <t>Deferred income taxes</t>
  </si>
  <si>
    <t>Other long-term liabilities</t>
  </si>
  <si>
    <t>Common stock</t>
  </si>
  <si>
    <t>Treasury Stock-common, at cost</t>
  </si>
  <si>
    <t>Additional paid-in capital</t>
  </si>
  <si>
    <t>Retained earnings</t>
  </si>
  <si>
    <t>Depreciation and amortization</t>
  </si>
  <si>
    <t>Change in Receivable</t>
  </si>
  <si>
    <t>Change in Merchandise inventories</t>
  </si>
  <si>
    <t>Change in Prepaid expenses and other current assets</t>
  </si>
  <si>
    <t>Change in Income taxes</t>
  </si>
  <si>
    <t>Change in accounts payable</t>
  </si>
  <si>
    <t>Change in Accrued liabilities</t>
  </si>
  <si>
    <t>Change in Operating lease liabilities</t>
  </si>
  <si>
    <t>Change in other assets and liabilties</t>
  </si>
  <si>
    <t>Change in Property, plant and equipment</t>
  </si>
  <si>
    <t>Change in Other long-term assets</t>
  </si>
  <si>
    <t>Change in other intangible assets, net</t>
  </si>
  <si>
    <t>Change in Operating lease assets</t>
  </si>
  <si>
    <t>Change in Other long-term liabilities</t>
  </si>
  <si>
    <t>Change in Retained earnings</t>
  </si>
  <si>
    <t xml:space="preserve">   a. Revnebue % Growth</t>
  </si>
  <si>
    <t xml:space="preserve">   b.  Net Income % Growth</t>
  </si>
  <si>
    <t xml:space="preserve">   c.  Gross Margin</t>
  </si>
  <si>
    <t xml:space="preserve">   d.  Operating Expenses Margin</t>
  </si>
  <si>
    <t>6. Additional Ratios (Growth Rates &amp; Margins)</t>
  </si>
  <si>
    <t xml:space="preserve">   e.  Operating Margin</t>
  </si>
  <si>
    <t xml:space="preserve">   f.  EBT Margin</t>
  </si>
  <si>
    <t xml:space="preserve">   g.  Debt to Equity</t>
  </si>
  <si>
    <t xml:space="preserve">   h.  EBIT % Growth</t>
  </si>
  <si>
    <t xml:space="preserve">   Accrued liabilities</t>
  </si>
  <si>
    <t xml:space="preserve">   Cash (% avg. YoY rate)</t>
  </si>
  <si>
    <t xml:space="preserve">   Cash ($ in thousands)</t>
  </si>
  <si>
    <t xml:space="preserve">   Inventories (% of Growth)</t>
  </si>
  <si>
    <t xml:space="preserve">   Debt-to-Equity ratio (D/E)</t>
  </si>
  <si>
    <t xml:space="preserve">   Prepaid income taxes (% of EBIT)</t>
  </si>
  <si>
    <t xml:space="preserve">   Goodwill ($ in thousands)</t>
  </si>
  <si>
    <t xml:space="preserve">   Other intangible assets, net ($ in thousands)</t>
  </si>
  <si>
    <t xml:space="preserve">   Accounts Payable (as % of inventory)</t>
  </si>
  <si>
    <t xml:space="preserve">   Accrued liabilities (as % of Operating Exp.)</t>
  </si>
  <si>
    <t xml:space="preserve">   Deferred revenue (% of growth)</t>
  </si>
  <si>
    <t xml:space="preserve">   Accrude income taxes (% of Income Tax Exp.)</t>
  </si>
  <si>
    <t xml:space="preserve">   Short-term debt ($ in thousands)</t>
  </si>
  <si>
    <t xml:space="preserve">   Other long-term liabilities (% of growth)</t>
  </si>
  <si>
    <t xml:space="preserve">   Common stock (QoQ value change)</t>
  </si>
  <si>
    <t xml:space="preserve">   Treasury Stock-common, at cost (QoQ value change)</t>
  </si>
  <si>
    <t xml:space="preserve">   Non-current operating lease liabilities (% of growth)</t>
  </si>
  <si>
    <t xml:space="preserve">   Additional paid-in capital (QoQ value change)</t>
  </si>
  <si>
    <t xml:space="preserve">   Retained earnings (% of growth)</t>
  </si>
  <si>
    <t>Total non-current assets</t>
  </si>
  <si>
    <t>Total non-current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</si>
</sst>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(* #,##0.0000_);_(* \(#,##0.0000\);_(* &quot;-&quot;??_);_(@_)"/>
    <numFmt numFmtId="167" formatCode="0.000_);\(0.000\)"/>
    <numFmt numFmtId="168" formatCode="0.0%"/>
    <numFmt numFmtId="169" formatCode="_(* #,##0.0_);_(* \(#,##0.0\);_(* &quot;-&quot;??_);_(@_)"/>
    <numFmt numFmtId="170" formatCode="_(* #,##0.00000000000_);_(* \(#,##0.00000000000\);_(* &quot;-&quot;??_);_(@_)"/>
  </numFmts>
  <fonts count="63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u/>
      <sz val="11"/>
      <color theme="10"/>
      <name val="Times New Roman"/>
      <family val="2"/>
    </font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C00000"/>
      <name val="Times New Roman"/>
      <family val="1"/>
    </font>
    <font>
      <b/>
      <u/>
      <sz val="12"/>
      <color theme="1"/>
      <name val="Times New Roman"/>
      <family val="1"/>
    </font>
    <font>
      <b/>
      <sz val="11"/>
      <color rgb="FFC00000"/>
      <name val="Times New Roman"/>
      <family val="1"/>
    </font>
    <font>
      <sz val="11"/>
      <color rgb="FFC00000"/>
      <name val="Times New Roman"/>
      <family val="2"/>
    </font>
    <font>
      <sz val="12"/>
      <color theme="1"/>
      <name val="Times New Roman"/>
      <family val="1"/>
    </font>
    <font>
      <b/>
      <sz val="22"/>
      <color theme="1"/>
      <name val="Times New Roman"/>
      <family val="1"/>
    </font>
    <font>
      <b/>
      <sz val="14"/>
      <color theme="8" tint="-0.499984740745262"/>
      <name val="Times New Roman"/>
      <family val="1"/>
    </font>
    <font>
      <sz val="16"/>
      <color theme="0"/>
      <name val="Times New Roman"/>
      <family val="1"/>
    </font>
    <font>
      <sz val="12"/>
      <color theme="0"/>
      <name val="Times New Roman"/>
      <family val="1"/>
    </font>
    <font>
      <b/>
      <sz val="12"/>
      <name val="Times New Roman"/>
      <family val="1"/>
    </font>
    <font>
      <b/>
      <i/>
      <sz val="12"/>
      <color theme="1"/>
      <name val="Times New Roman"/>
      <family val="1"/>
    </font>
    <font>
      <sz val="12"/>
      <name val="Times New Roman"/>
      <family val="1"/>
    </font>
    <font>
      <b/>
      <i/>
      <sz val="16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0"/>
      <name val="Times New Roman"/>
      <family val="1"/>
    </font>
    <font>
      <u val="singleAccounting"/>
      <sz val="12"/>
      <color theme="1"/>
      <name val="Times New Roman"/>
      <family val="1"/>
    </font>
    <font>
      <u/>
      <sz val="12"/>
      <color theme="1"/>
      <name val="Times New Roman"/>
      <family val="1"/>
    </font>
    <font>
      <i/>
      <sz val="12"/>
      <name val="Times New Roman"/>
      <family val="1"/>
    </font>
    <font>
      <u/>
      <sz val="12"/>
      <name val="Times New Roman"/>
      <family val="1"/>
    </font>
    <font>
      <b/>
      <i/>
      <sz val="12"/>
      <name val="Times New Roman"/>
      <family val="1"/>
    </font>
    <font>
      <u val="singleAccounting"/>
      <sz val="12"/>
      <name val="Times New Roman"/>
      <family val="1"/>
    </font>
    <font>
      <b/>
      <i/>
      <sz val="16"/>
      <color theme="8" tint="-0.499984740745262"/>
      <name val="Times New Roman"/>
      <family val="1"/>
    </font>
    <font>
      <sz val="16"/>
      <color theme="8" tint="-0.499984740745262"/>
      <name val="Times New Roman"/>
      <family val="1"/>
    </font>
    <font>
      <b/>
      <sz val="14"/>
      <color theme="0"/>
      <name val="Times New Roman"/>
      <family val="1"/>
    </font>
    <font>
      <sz val="8"/>
      <name val="Times New Roman"/>
      <family val="2"/>
    </font>
    <font>
      <b/>
      <sz val="12"/>
      <color rgb="FFC00000"/>
      <name val="Times New Roman"/>
      <family val="1"/>
    </font>
    <font>
      <b/>
      <sz val="12"/>
      <color theme="5" tint="-0.249977111117893"/>
      <name val="Times New Roman"/>
      <family val="1"/>
    </font>
    <font>
      <sz val="12"/>
      <color theme="5" tint="-0.249977111117893"/>
      <name val="Times New Roman"/>
      <family val="1"/>
    </font>
    <font>
      <b/>
      <sz val="11"/>
      <color theme="5" tint="-0.249977111117893"/>
      <name val="Times New Roman"/>
      <family val="1"/>
    </font>
    <font>
      <b/>
      <u/>
      <sz val="12"/>
      <name val="Times New Roman"/>
      <family val="1"/>
    </font>
    <font>
      <b/>
      <sz val="20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rgb="FFC00000"/>
      <name val="Times New Roman"/>
      <family val="1"/>
    </font>
    <font>
      <i/>
      <sz val="11"/>
      <color rgb="FFC00000"/>
      <name val="Times New Roman"/>
      <family val="1"/>
    </font>
    <font>
      <b/>
      <sz val="12"/>
      <color theme="0"/>
      <name val="Times New Roman"/>
      <family val="1"/>
    </font>
    <font>
      <b/>
      <sz val="14"/>
      <color rgb="FFC00000"/>
      <name val="Times New Roman"/>
      <family val="1"/>
    </font>
    <font>
      <b/>
      <sz val="14"/>
      <name val="Times New Roman"/>
      <family val="1"/>
    </font>
    <font>
      <b/>
      <sz val="11"/>
      <color theme="1"/>
      <name val="Times New Roman"/>
      <family val="2"/>
    </font>
    <font>
      <sz val="11"/>
      <color theme="5" tint="-0.249977111117893"/>
      <name val="Times New Roman"/>
      <family val="2"/>
    </font>
    <font>
      <sz val="11"/>
      <name val="Times New Roman"/>
      <family val="1"/>
    </font>
    <font>
      <b/>
      <sz val="11"/>
      <color theme="0"/>
      <name val="Times New Roman"/>
      <family val="1"/>
    </font>
    <font>
      <b/>
      <u val="doubleAccounting"/>
      <sz val="12"/>
      <color theme="1"/>
      <name val="Times New Roman"/>
      <family val="1"/>
    </font>
    <font>
      <b/>
      <sz val="11"/>
      <color theme="5" tint="-0.499984740745262"/>
      <name val="Times New Roman"/>
      <family val="1"/>
    </font>
    <font>
      <sz val="14"/>
      <name val="Times New Roman"/>
      <family val="1"/>
    </font>
    <font>
      <b/>
      <u val="doubleAccounting"/>
      <sz val="14"/>
      <name val="Times New Roman"/>
      <family val="1"/>
    </font>
    <font>
      <b/>
      <u val="double"/>
      <sz val="14"/>
      <color theme="1"/>
      <name val="Times New Roman"/>
      <family val="1"/>
    </font>
    <font>
      <b/>
      <u val="double"/>
      <sz val="14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44" fontId="3" fillId="0" borderId="0" applyFont="0" applyFill="0" applyBorder="0" applyAlignment="0" applyProtection="0"/>
  </cellStyleXfs>
  <cellXfs count="331">
    <xf numFmtId="0" fontId="0" fillId="0" borderId="0" xfId="0"/>
    <xf numFmtId="0" fontId="9" fillId="0" borderId="0" xfId="0" applyFont="1"/>
    <xf numFmtId="164" fontId="9" fillId="0" borderId="0" xfId="2" applyNumberFormat="1" applyFont="1"/>
    <xf numFmtId="0" fontId="0" fillId="0" borderId="0" xfId="0" applyAlignment="1">
      <alignment vertical="center"/>
    </xf>
    <xf numFmtId="164" fontId="0" fillId="0" borderId="0" xfId="2" applyNumberFormat="1" applyFont="1" applyAlignment="1">
      <alignment vertical="center"/>
    </xf>
    <xf numFmtId="43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vertical="center"/>
    </xf>
    <xf numFmtId="1" fontId="0" fillId="0" borderId="0" xfId="2" applyNumberFormat="1" applyFont="1" applyAlignment="1">
      <alignment horizontal="right" vertical="center"/>
    </xf>
    <xf numFmtId="0" fontId="4" fillId="0" borderId="3" xfId="0" applyFont="1" applyBorder="1" applyAlignment="1">
      <alignment horizontal="right"/>
    </xf>
    <xf numFmtId="0" fontId="4" fillId="0" borderId="0" xfId="0" applyFont="1"/>
    <xf numFmtId="0" fontId="4" fillId="0" borderId="3" xfId="0" applyFont="1" applyBorder="1" applyAlignment="1">
      <alignment horizontal="right" vertical="center"/>
    </xf>
    <xf numFmtId="4" fontId="0" fillId="0" borderId="0" xfId="0" applyNumberFormat="1" applyAlignment="1">
      <alignment vertical="center"/>
    </xf>
    <xf numFmtId="164" fontId="9" fillId="0" borderId="3" xfId="2" applyNumberFormat="1" applyFont="1" applyBorder="1"/>
    <xf numFmtId="0" fontId="10" fillId="0" borderId="0" xfId="0" applyFont="1" applyAlignment="1">
      <alignment horizontal="left" vertical="top"/>
    </xf>
    <xf numFmtId="0" fontId="0" fillId="0" borderId="3" xfId="0" applyBorder="1"/>
    <xf numFmtId="0" fontId="11" fillId="0" borderId="0" xfId="0" applyFont="1"/>
    <xf numFmtId="0" fontId="0" fillId="0" borderId="0" xfId="0" applyAlignment="1">
      <alignment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Continuous" vertical="center" wrapText="1"/>
    </xf>
    <xf numFmtId="0" fontId="4" fillId="0" borderId="3" xfId="0" applyFont="1" applyBorder="1" applyAlignment="1">
      <alignment horizontal="centerContinuous"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164" fontId="0" fillId="0" borderId="3" xfId="2" applyNumberFormat="1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4" fillId="0" borderId="0" xfId="0" applyFont="1" applyAlignment="1">
      <alignment vertical="center"/>
    </xf>
    <xf numFmtId="164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1" fontId="0" fillId="0" borderId="0" xfId="2" applyNumberFormat="1" applyFont="1" applyBorder="1" applyAlignment="1">
      <alignment horizontal="right" vertical="center"/>
    </xf>
    <xf numFmtId="164" fontId="0" fillId="0" borderId="0" xfId="2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43" fontId="14" fillId="0" borderId="0" xfId="0" applyNumberFormat="1" applyFont="1" applyAlignment="1">
      <alignment vertical="center"/>
    </xf>
    <xf numFmtId="43" fontId="17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9" fillId="0" borderId="3" xfId="0" applyFont="1" applyBorder="1"/>
    <xf numFmtId="164" fontId="0" fillId="2" borderId="0" xfId="2" applyNumberFormat="1" applyFont="1" applyFill="1" applyAlignment="1">
      <alignment vertical="center"/>
    </xf>
    <xf numFmtId="164" fontId="0" fillId="2" borderId="3" xfId="2" applyNumberFormat="1" applyFont="1" applyFill="1" applyBorder="1" applyAlignment="1">
      <alignment vertical="center"/>
    </xf>
    <xf numFmtId="0" fontId="12" fillId="0" borderId="3" xfId="0" applyFont="1" applyBorder="1"/>
    <xf numFmtId="43" fontId="0" fillId="0" borderId="0" xfId="0" applyNumberFormat="1"/>
    <xf numFmtId="0" fontId="17" fillId="0" borderId="0" xfId="0" applyFont="1"/>
    <xf numFmtId="0" fontId="4" fillId="0" borderId="3" xfId="0" applyFont="1" applyBorder="1" applyAlignment="1">
      <alignment horizontal="center" vertical="center"/>
    </xf>
    <xf numFmtId="10" fontId="0" fillId="0" borderId="3" xfId="3" applyNumberFormat="1" applyFont="1" applyBorder="1"/>
    <xf numFmtId="43" fontId="17" fillId="0" borderId="0" xfId="0" applyNumberFormat="1" applyFont="1"/>
    <xf numFmtId="10" fontId="17" fillId="0" borderId="0" xfId="3" applyNumberFormat="1" applyFont="1"/>
    <xf numFmtId="164" fontId="18" fillId="0" borderId="0" xfId="6" applyNumberFormat="1" applyFont="1" applyAlignment="1">
      <alignment vertical="center"/>
    </xf>
    <xf numFmtId="164" fontId="18" fillId="0" borderId="0" xfId="6" applyNumberFormat="1" applyFont="1" applyFill="1" applyAlignment="1">
      <alignment vertical="center"/>
    </xf>
    <xf numFmtId="0" fontId="19" fillId="0" borderId="0" xfId="5" applyFont="1" applyAlignment="1">
      <alignment vertical="center"/>
    </xf>
    <xf numFmtId="0" fontId="18" fillId="0" borderId="0" xfId="5" applyFont="1" applyAlignment="1">
      <alignment vertical="center"/>
    </xf>
    <xf numFmtId="164" fontId="12" fillId="0" borderId="0" xfId="6" applyNumberFormat="1" applyFont="1" applyAlignment="1">
      <alignment vertical="center"/>
    </xf>
    <xf numFmtId="164" fontId="18" fillId="0" borderId="0" xfId="6" applyNumberFormat="1" applyFont="1" applyFill="1" applyBorder="1" applyAlignment="1">
      <alignment vertical="center"/>
    </xf>
    <xf numFmtId="164" fontId="20" fillId="0" borderId="0" xfId="6" applyNumberFormat="1" applyFont="1" applyAlignment="1">
      <alignment vertical="center"/>
    </xf>
    <xf numFmtId="0" fontId="23" fillId="0" borderId="3" xfId="0" applyFont="1" applyBorder="1" applyAlignment="1">
      <alignment horizontal="right" vertical="center"/>
    </xf>
    <xf numFmtId="164" fontId="24" fillId="0" borderId="0" xfId="6" applyNumberFormat="1" applyFont="1" applyFill="1" applyBorder="1" applyAlignment="1">
      <alignment horizontal="right" vertical="center"/>
    </xf>
    <xf numFmtId="0" fontId="24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164" fontId="24" fillId="0" borderId="0" xfId="6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164" fontId="18" fillId="0" borderId="0" xfId="2" applyNumberFormat="1" applyFont="1" applyFill="1" applyAlignment="1">
      <alignment vertical="center"/>
    </xf>
    <xf numFmtId="168" fontId="18" fillId="0" borderId="0" xfId="0" applyNumberFormat="1" applyFont="1" applyAlignment="1">
      <alignment vertical="center"/>
    </xf>
    <xf numFmtId="0" fontId="24" fillId="0" borderId="0" xfId="6" applyNumberFormat="1" applyFont="1" applyAlignment="1">
      <alignment vertical="center"/>
    </xf>
    <xf numFmtId="0" fontId="25" fillId="0" borderId="0" xfId="5" applyFont="1" applyAlignment="1">
      <alignment vertical="top"/>
    </xf>
    <xf numFmtId="0" fontId="26" fillId="0" borderId="0" xfId="5" applyFont="1" applyAlignment="1">
      <alignment vertical="center"/>
    </xf>
    <xf numFmtId="0" fontId="27" fillId="0" borderId="0" xfId="5" applyFont="1" applyAlignment="1">
      <alignment vertical="center"/>
    </xf>
    <xf numFmtId="164" fontId="11" fillId="0" borderId="0" xfId="6" applyNumberFormat="1" applyFont="1" applyAlignment="1">
      <alignment vertical="center"/>
    </xf>
    <xf numFmtId="164" fontId="11" fillId="0" borderId="0" xfId="6" applyNumberFormat="1" applyFont="1" applyFill="1" applyAlignment="1">
      <alignment vertical="center"/>
    </xf>
    <xf numFmtId="164" fontId="29" fillId="0" borderId="0" xfId="6" applyNumberFormat="1" applyFont="1" applyFill="1" applyAlignment="1">
      <alignment vertical="center"/>
    </xf>
    <xf numFmtId="164" fontId="29" fillId="0" borderId="0" xfId="6" applyNumberFormat="1" applyFont="1" applyFill="1" applyBorder="1" applyAlignment="1">
      <alignment vertical="center"/>
    </xf>
    <xf numFmtId="0" fontId="31" fillId="0" borderId="0" xfId="5" applyFont="1" applyAlignment="1">
      <alignment vertical="top"/>
    </xf>
    <xf numFmtId="0" fontId="18" fillId="0" borderId="0" xfId="5" applyFont="1" applyAlignment="1">
      <alignment vertical="top"/>
    </xf>
    <xf numFmtId="0" fontId="23" fillId="0" borderId="0" xfId="5" applyFont="1" applyAlignment="1">
      <alignment vertical="top"/>
    </xf>
    <xf numFmtId="0" fontId="32" fillId="0" borderId="0" xfId="5" applyFont="1" applyAlignment="1">
      <alignment vertical="top"/>
    </xf>
    <xf numFmtId="9" fontId="15" fillId="0" borderId="0" xfId="7" applyFont="1" applyFill="1" applyAlignment="1">
      <alignment vertical="center"/>
    </xf>
    <xf numFmtId="42" fontId="23" fillId="0" borderId="0" xfId="5" applyNumberFormat="1" applyFont="1" applyAlignment="1">
      <alignment vertical="top"/>
    </xf>
    <xf numFmtId="164" fontId="18" fillId="0" borderId="3" xfId="6" applyNumberFormat="1" applyFont="1" applyFill="1" applyBorder="1" applyAlignment="1">
      <alignment vertical="center"/>
    </xf>
    <xf numFmtId="169" fontId="33" fillId="0" borderId="0" xfId="6" applyNumberFormat="1" applyFont="1" applyFill="1" applyAlignment="1">
      <alignment horizontal="left" vertical="center"/>
    </xf>
    <xf numFmtId="169" fontId="25" fillId="0" borderId="0" xfId="6" applyNumberFormat="1" applyFont="1" applyFill="1" applyAlignment="1">
      <alignment horizontal="left" vertical="center"/>
    </xf>
    <xf numFmtId="10" fontId="18" fillId="0" borderId="0" xfId="7" applyNumberFormat="1" applyFont="1" applyFill="1" applyAlignment="1">
      <alignment vertical="center"/>
    </xf>
    <xf numFmtId="169" fontId="34" fillId="0" borderId="0" xfId="6" applyNumberFormat="1" applyFont="1" applyFill="1" applyAlignment="1">
      <alignment horizontal="left" vertical="center"/>
    </xf>
    <xf numFmtId="169" fontId="23" fillId="0" borderId="0" xfId="6" applyNumberFormat="1" applyFont="1" applyFill="1" applyAlignment="1">
      <alignment horizontal="left" vertical="center"/>
    </xf>
    <xf numFmtId="169" fontId="25" fillId="0" borderId="0" xfId="6" applyNumberFormat="1" applyFont="1" applyAlignment="1">
      <alignment horizontal="left" vertical="center"/>
    </xf>
    <xf numFmtId="169" fontId="18" fillId="0" borderId="0" xfId="6" applyNumberFormat="1" applyFont="1" applyAlignment="1">
      <alignment horizontal="left" vertical="center"/>
    </xf>
    <xf numFmtId="169" fontId="23" fillId="0" borderId="0" xfId="6" applyNumberFormat="1" applyFont="1" applyAlignment="1">
      <alignment horizontal="left" vertical="center"/>
    </xf>
    <xf numFmtId="169" fontId="34" fillId="0" borderId="0" xfId="6" applyNumberFormat="1" applyFont="1" applyBorder="1" applyAlignment="1">
      <alignment horizontal="left" vertical="center"/>
    </xf>
    <xf numFmtId="164" fontId="29" fillId="0" borderId="0" xfId="6" applyNumberFormat="1" applyFont="1" applyBorder="1" applyAlignment="1">
      <alignment vertical="center"/>
    </xf>
    <xf numFmtId="0" fontId="35" fillId="0" borderId="0" xfId="5" applyFont="1" applyAlignment="1">
      <alignment vertical="center"/>
    </xf>
    <xf numFmtId="0" fontId="36" fillId="0" borderId="0" xfId="5" applyFont="1" applyAlignment="1">
      <alignment vertical="center"/>
    </xf>
    <xf numFmtId="0" fontId="11" fillId="0" borderId="0" xfId="2" applyNumberFormat="1" applyFont="1" applyAlignment="1">
      <alignment vertical="center"/>
    </xf>
    <xf numFmtId="0" fontId="18" fillId="0" borderId="0" xfId="2" applyNumberFormat="1" applyFont="1" applyAlignment="1">
      <alignment vertical="center"/>
    </xf>
    <xf numFmtId="43" fontId="18" fillId="0" borderId="0" xfId="6" applyFont="1" applyFill="1" applyAlignment="1">
      <alignment vertical="center"/>
    </xf>
    <xf numFmtId="0" fontId="9" fillId="0" borderId="0" xfId="2" applyNumberFormat="1" applyFont="1" applyBorder="1" applyAlignment="1">
      <alignment vertical="center"/>
    </xf>
    <xf numFmtId="43" fontId="12" fillId="0" borderId="3" xfId="2" applyFont="1" applyBorder="1" applyAlignment="1">
      <alignment horizontal="left" vertical="center"/>
    </xf>
    <xf numFmtId="0" fontId="12" fillId="0" borderId="3" xfId="0" applyFont="1" applyBorder="1" applyAlignment="1">
      <alignment vertical="center"/>
    </xf>
    <xf numFmtId="164" fontId="12" fillId="0" borderId="3" xfId="6" applyNumberFormat="1" applyFont="1" applyFill="1" applyBorder="1" applyAlignment="1">
      <alignment vertical="center"/>
    </xf>
    <xf numFmtId="164" fontId="12" fillId="0" borderId="3" xfId="6" applyNumberFormat="1" applyFont="1" applyBorder="1" applyAlignment="1">
      <alignment vertical="center"/>
    </xf>
    <xf numFmtId="164" fontId="11" fillId="0" borderId="3" xfId="6" applyNumberFormat="1" applyFont="1" applyBorder="1" applyAlignment="1">
      <alignment horizontal="right" vertical="center"/>
    </xf>
    <xf numFmtId="164" fontId="11" fillId="0" borderId="3" xfId="6" applyNumberFormat="1" applyFont="1" applyFill="1" applyBorder="1" applyAlignment="1">
      <alignment horizontal="right" vertical="center"/>
    </xf>
    <xf numFmtId="164" fontId="9" fillId="0" borderId="0" xfId="2" applyNumberFormat="1" applyFont="1" applyBorder="1"/>
    <xf numFmtId="164" fontId="9" fillId="0" borderId="0" xfId="2" applyNumberFormat="1" applyFont="1" applyBorder="1" applyAlignment="1">
      <alignment vertical="center"/>
    </xf>
    <xf numFmtId="164" fontId="0" fillId="2" borderId="0" xfId="2" applyNumberFormat="1" applyFont="1" applyFill="1" applyBorder="1" applyAlignment="1">
      <alignment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/>
    <xf numFmtId="0" fontId="43" fillId="0" borderId="0" xfId="5" applyFont="1" applyAlignment="1">
      <alignment vertical="top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46" fillId="0" borderId="0" xfId="0" applyFont="1"/>
    <xf numFmtId="0" fontId="47" fillId="0" borderId="0" xfId="0" applyFont="1" applyAlignment="1">
      <alignment vertical="center"/>
    </xf>
    <xf numFmtId="167" fontId="0" fillId="0" borderId="0" xfId="0" applyNumberFormat="1" applyAlignment="1">
      <alignment vertical="center"/>
    </xf>
    <xf numFmtId="0" fontId="14" fillId="0" borderId="3" xfId="0" applyFont="1" applyBorder="1" applyAlignment="1">
      <alignment horizontal="right" vertical="center"/>
    </xf>
    <xf numFmtId="0" fontId="14" fillId="0" borderId="3" xfId="0" applyFont="1" applyBorder="1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39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vertical="center"/>
    </xf>
    <xf numFmtId="0" fontId="47" fillId="0" borderId="0" xfId="0" applyFont="1"/>
    <xf numFmtId="0" fontId="19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51" fillId="0" borderId="0" xfId="6" applyNumberFormat="1" applyFont="1" applyAlignment="1">
      <alignment vertical="center"/>
    </xf>
    <xf numFmtId="164" fontId="51" fillId="0" borderId="0" xfId="6" applyNumberFormat="1" applyFont="1" applyAlignment="1">
      <alignment vertical="center"/>
    </xf>
    <xf numFmtId="164" fontId="51" fillId="0" borderId="0" xfId="6" applyNumberFormat="1" applyFont="1" applyFill="1" applyAlignment="1">
      <alignment vertical="center"/>
    </xf>
    <xf numFmtId="0" fontId="52" fillId="0" borderId="0" xfId="5" applyFont="1" applyAlignment="1">
      <alignment vertical="top"/>
    </xf>
    <xf numFmtId="15" fontId="0" fillId="0" borderId="0" xfId="0" applyNumberFormat="1" applyAlignment="1">
      <alignment vertical="center" wrapText="1"/>
    </xf>
    <xf numFmtId="0" fontId="0" fillId="0" borderId="3" xfId="0" applyBorder="1" applyAlignment="1">
      <alignment vertical="center" wrapText="1"/>
    </xf>
    <xf numFmtId="15" fontId="4" fillId="0" borderId="3" xfId="0" applyNumberFormat="1" applyFont="1" applyBorder="1" applyAlignment="1">
      <alignment vertical="center" wrapText="1"/>
    </xf>
    <xf numFmtId="0" fontId="53" fillId="0" borderId="5" xfId="0" applyFont="1" applyBorder="1" applyAlignment="1">
      <alignment horizontal="center" vertical="center" wrapText="1"/>
    </xf>
    <xf numFmtId="3" fontId="0" fillId="3" borderId="0" xfId="0" applyNumberFormat="1" applyFill="1" applyAlignment="1">
      <alignment vertical="center" wrapText="1"/>
    </xf>
    <xf numFmtId="3" fontId="4" fillId="3" borderId="3" xfId="0" applyNumberFormat="1" applyFont="1" applyFill="1" applyBorder="1" applyAlignment="1">
      <alignment vertical="center" wrapText="1"/>
    </xf>
    <xf numFmtId="3" fontId="4" fillId="3" borderId="3" xfId="0" applyNumberFormat="1" applyFont="1" applyFill="1" applyBorder="1"/>
    <xf numFmtId="3" fontId="9" fillId="0" borderId="3" xfId="0" applyNumberFormat="1" applyFont="1" applyBorder="1"/>
    <xf numFmtId="3" fontId="9" fillId="2" borderId="0" xfId="0" applyNumberFormat="1" applyFont="1" applyFill="1" applyAlignment="1">
      <alignment vertical="center" wrapText="1"/>
    </xf>
    <xf numFmtId="3" fontId="9" fillId="2" borderId="3" xfId="0" applyNumberFormat="1" applyFont="1" applyFill="1" applyBorder="1" applyAlignment="1">
      <alignment vertical="center" wrapText="1"/>
    </xf>
    <xf numFmtId="164" fontId="0" fillId="2" borderId="0" xfId="2" applyNumberFormat="1" applyFont="1" applyFill="1"/>
    <xf numFmtId="164" fontId="0" fillId="2" borderId="3" xfId="2" applyNumberFormat="1" applyFont="1" applyFill="1" applyBorder="1"/>
    <xf numFmtId="164" fontId="0" fillId="3" borderId="0" xfId="2" applyNumberFormat="1" applyFont="1" applyFill="1" applyAlignment="1">
      <alignment vertical="center" wrapText="1"/>
    </xf>
    <xf numFmtId="164" fontId="4" fillId="2" borderId="0" xfId="2" applyNumberFormat="1" applyFont="1" applyFill="1" applyAlignment="1">
      <alignment vertical="center"/>
    </xf>
    <xf numFmtId="15" fontId="4" fillId="0" borderId="0" xfId="0" applyNumberFormat="1" applyFont="1" applyAlignment="1">
      <alignment vertical="center" wrapText="1"/>
    </xf>
    <xf numFmtId="164" fontId="0" fillId="2" borderId="3" xfId="2" applyNumberFormat="1" applyFont="1" applyFill="1" applyBorder="1" applyAlignment="1">
      <alignment vertical="center" wrapText="1"/>
    </xf>
    <xf numFmtId="3" fontId="9" fillId="0" borderId="0" xfId="0" applyNumberFormat="1" applyFont="1" applyAlignment="1">
      <alignment vertical="center" wrapText="1"/>
    </xf>
    <xf numFmtId="164" fontId="0" fillId="0" borderId="0" xfId="2" applyNumberFormat="1" applyFont="1" applyFill="1" applyAlignment="1">
      <alignment vertical="center"/>
    </xf>
    <xf numFmtId="3" fontId="9" fillId="0" borderId="3" xfId="0" applyNumberFormat="1" applyFont="1" applyBorder="1" applyAlignment="1">
      <alignment vertical="center" wrapText="1"/>
    </xf>
    <xf numFmtId="164" fontId="0" fillId="0" borderId="3" xfId="2" applyNumberFormat="1" applyFont="1" applyFill="1" applyBorder="1" applyAlignment="1">
      <alignment vertical="center"/>
    </xf>
    <xf numFmtId="164" fontId="0" fillId="3" borderId="0" xfId="0" applyNumberFormat="1" applyFill="1"/>
    <xf numFmtId="164" fontId="4" fillId="3" borderId="0" xfId="0" applyNumberFormat="1" applyFont="1" applyFill="1"/>
    <xf numFmtId="164" fontId="0" fillId="3" borderId="3" xfId="0" applyNumberFormat="1" applyFill="1" applyBorder="1"/>
    <xf numFmtId="14" fontId="0" fillId="0" borderId="0" xfId="0" applyNumberFormat="1" applyAlignment="1">
      <alignment vertical="center" wrapText="1"/>
    </xf>
    <xf numFmtId="14" fontId="0" fillId="0" borderId="3" xfId="0" applyNumberFormat="1" applyBorder="1" applyAlignment="1">
      <alignment vertical="center" wrapText="1"/>
    </xf>
    <xf numFmtId="164" fontId="0" fillId="2" borderId="0" xfId="0" applyNumberFormat="1" applyFill="1" applyAlignment="1">
      <alignment vertical="center"/>
    </xf>
    <xf numFmtId="164" fontId="0" fillId="4" borderId="0" xfId="0" applyNumberFormat="1" applyFill="1" applyAlignment="1">
      <alignment vertical="center"/>
    </xf>
    <xf numFmtId="165" fontId="0" fillId="4" borderId="0" xfId="2" applyNumberFormat="1" applyFont="1" applyFill="1" applyAlignment="1">
      <alignment vertical="center"/>
    </xf>
    <xf numFmtId="165" fontId="0" fillId="4" borderId="0" xfId="0" applyNumberFormat="1" applyFill="1" applyAlignment="1">
      <alignment vertical="center"/>
    </xf>
    <xf numFmtId="167" fontId="0" fillId="4" borderId="0" xfId="2" applyNumberFormat="1" applyFont="1" applyFill="1" applyAlignment="1">
      <alignment horizontal="center" vertical="center"/>
    </xf>
    <xf numFmtId="164" fontId="0" fillId="4" borderId="3" xfId="0" applyNumberFormat="1" applyFill="1" applyBorder="1" applyAlignment="1">
      <alignment vertical="center"/>
    </xf>
    <xf numFmtId="165" fontId="0" fillId="4" borderId="3" xfId="2" applyNumberFormat="1" applyFont="1" applyFill="1" applyBorder="1" applyAlignment="1">
      <alignment vertical="center"/>
    </xf>
    <xf numFmtId="165" fontId="0" fillId="4" borderId="3" xfId="0" applyNumberFormat="1" applyFill="1" applyBorder="1" applyAlignment="1">
      <alignment vertical="center"/>
    </xf>
    <xf numFmtId="43" fontId="0" fillId="2" borderId="0" xfId="0" applyNumberFormat="1" applyFill="1"/>
    <xf numFmtId="14" fontId="42" fillId="0" borderId="0" xfId="0" applyNumberFormat="1" applyFont="1"/>
    <xf numFmtId="14" fontId="42" fillId="0" borderId="4" xfId="0" applyNumberFormat="1" applyFont="1" applyBorder="1"/>
    <xf numFmtId="0" fontId="0" fillId="0" borderId="4" xfId="0" applyBorder="1"/>
    <xf numFmtId="43" fontId="42" fillId="2" borderId="4" xfId="0" applyNumberFormat="1" applyFont="1" applyFill="1" applyBorder="1"/>
    <xf numFmtId="10" fontId="0" fillId="2" borderId="0" xfId="3" applyNumberFormat="1" applyFont="1" applyFill="1" applyAlignment="1">
      <alignment vertical="center"/>
    </xf>
    <xf numFmtId="170" fontId="0" fillId="2" borderId="0" xfId="2" applyNumberFormat="1" applyFont="1" applyFill="1" applyAlignment="1">
      <alignment vertical="center"/>
    </xf>
    <xf numFmtId="14" fontId="9" fillId="0" borderId="0" xfId="0" applyNumberFormat="1" applyFont="1"/>
    <xf numFmtId="166" fontId="4" fillId="3" borderId="0" xfId="2" applyNumberFormat="1" applyFont="1" applyFill="1"/>
    <xf numFmtId="164" fontId="4" fillId="3" borderId="0" xfId="2" applyNumberFormat="1" applyFont="1" applyFill="1"/>
    <xf numFmtId="10" fontId="4" fillId="3" borderId="0" xfId="3" applyNumberFormat="1" applyFont="1" applyFill="1"/>
    <xf numFmtId="14" fontId="9" fillId="0" borderId="3" xfId="0" applyNumberFormat="1" applyFont="1" applyBorder="1"/>
    <xf numFmtId="14" fontId="9" fillId="0" borderId="0" xfId="0" applyNumberFormat="1" applyFont="1" applyAlignment="1">
      <alignment vertical="center"/>
    </xf>
    <xf numFmtId="164" fontId="4" fillId="3" borderId="3" xfId="2" applyNumberFormat="1" applyFont="1" applyFill="1" applyBorder="1"/>
    <xf numFmtId="14" fontId="42" fillId="0" borderId="3" xfId="0" applyNumberFormat="1" applyFont="1" applyBorder="1"/>
    <xf numFmtId="43" fontId="42" fillId="3" borderId="0" xfId="0" applyNumberFormat="1" applyFont="1" applyFill="1"/>
    <xf numFmtId="43" fontId="42" fillId="3" borderId="3" xfId="0" applyNumberFormat="1" applyFont="1" applyFill="1" applyBorder="1"/>
    <xf numFmtId="0" fontId="55" fillId="0" borderId="0" xfId="0" applyFont="1"/>
    <xf numFmtId="14" fontId="55" fillId="0" borderId="0" xfId="0" applyNumberFormat="1" applyFont="1" applyAlignment="1">
      <alignment vertical="center"/>
    </xf>
    <xf numFmtId="164" fontId="55" fillId="0" borderId="0" xfId="2" applyNumberFormat="1" applyFont="1" applyBorder="1" applyAlignment="1">
      <alignment vertical="center"/>
    </xf>
    <xf numFmtId="166" fontId="4" fillId="4" borderId="0" xfId="2" applyNumberFormat="1" applyFont="1" applyFill="1" applyAlignment="1">
      <alignment vertical="center"/>
    </xf>
    <xf numFmtId="164" fontId="4" fillId="4" borderId="0" xfId="2" applyNumberFormat="1" applyFont="1" applyFill="1" applyAlignment="1">
      <alignment vertical="center"/>
    </xf>
    <xf numFmtId="10" fontId="4" fillId="4" borderId="0" xfId="3" applyNumberFormat="1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37" fillId="5" borderId="0" xfId="5" applyFont="1" applyFill="1" applyAlignment="1">
      <alignment vertical="center"/>
    </xf>
    <xf numFmtId="0" fontId="21" fillId="5" borderId="0" xfId="5" applyFont="1" applyFill="1" applyAlignment="1">
      <alignment vertical="center"/>
    </xf>
    <xf numFmtId="164" fontId="50" fillId="5" borderId="0" xfId="6" applyNumberFormat="1" applyFont="1" applyFill="1" applyAlignment="1">
      <alignment vertical="center"/>
    </xf>
    <xf numFmtId="164" fontId="22" fillId="5" borderId="0" xfId="6" applyNumberFormat="1" applyFont="1" applyFill="1" applyBorder="1" applyAlignment="1">
      <alignment vertical="center"/>
    </xf>
    <xf numFmtId="164" fontId="51" fillId="2" borderId="0" xfId="2" applyNumberFormat="1" applyFont="1" applyFill="1" applyAlignment="1">
      <alignment vertical="center"/>
    </xf>
    <xf numFmtId="168" fontId="18" fillId="2" borderId="0" xfId="0" applyNumberFormat="1" applyFont="1" applyFill="1" applyAlignment="1">
      <alignment vertical="center"/>
    </xf>
    <xf numFmtId="164" fontId="18" fillId="2" borderId="0" xfId="6" applyNumberFormat="1" applyFont="1" applyFill="1" applyAlignment="1">
      <alignment vertical="center"/>
    </xf>
    <xf numFmtId="3" fontId="9" fillId="2" borderId="0" xfId="0" applyNumberFormat="1" applyFont="1" applyFill="1" applyAlignment="1">
      <alignment horizontal="right" vertical="center"/>
    </xf>
    <xf numFmtId="164" fontId="0" fillId="3" borderId="0" xfId="0" applyNumberFormat="1" applyFill="1" applyAlignment="1">
      <alignment vertical="center"/>
    </xf>
    <xf numFmtId="43" fontId="0" fillId="3" borderId="0" xfId="0" applyNumberFormat="1" applyFill="1" applyAlignment="1">
      <alignment vertical="center"/>
    </xf>
    <xf numFmtId="166" fontId="4" fillId="3" borderId="0" xfId="2" applyNumberFormat="1" applyFont="1" applyFill="1" applyAlignment="1">
      <alignment vertical="center"/>
    </xf>
    <xf numFmtId="164" fontId="4" fillId="3" borderId="0" xfId="2" applyNumberFormat="1" applyFont="1" applyFill="1" applyAlignment="1">
      <alignment vertical="center"/>
    </xf>
    <xf numFmtId="10" fontId="4" fillId="3" borderId="0" xfId="3" applyNumberFormat="1" applyFont="1" applyFill="1" applyAlignment="1">
      <alignment vertical="center"/>
    </xf>
    <xf numFmtId="164" fontId="0" fillId="3" borderId="3" xfId="0" applyNumberFormat="1" applyFill="1" applyBorder="1" applyAlignment="1">
      <alignment vertical="center"/>
    </xf>
    <xf numFmtId="43" fontId="0" fillId="3" borderId="3" xfId="0" applyNumberFormat="1" applyFill="1" applyBorder="1" applyAlignment="1">
      <alignment vertical="center"/>
    </xf>
    <xf numFmtId="164" fontId="42" fillId="3" borderId="0" xfId="2" applyNumberFormat="1" applyFont="1" applyFill="1"/>
    <xf numFmtId="164" fontId="42" fillId="3" borderId="3" xfId="2" applyNumberFormat="1" applyFont="1" applyFill="1" applyBorder="1"/>
    <xf numFmtId="1" fontId="0" fillId="0" borderId="0" xfId="2" applyNumberFormat="1" applyFont="1" applyFill="1" applyAlignment="1">
      <alignment vertical="center"/>
    </xf>
    <xf numFmtId="0" fontId="0" fillId="2" borderId="0" xfId="0" applyFill="1" applyAlignment="1">
      <alignment vertical="center"/>
    </xf>
    <xf numFmtId="1" fontId="0" fillId="2" borderId="0" xfId="2" applyNumberFormat="1" applyFont="1" applyFill="1" applyAlignment="1">
      <alignment vertical="center"/>
    </xf>
    <xf numFmtId="1" fontId="0" fillId="2" borderId="3" xfId="2" applyNumberFormat="1" applyFont="1" applyFill="1" applyBorder="1" applyAlignment="1">
      <alignment vertical="center"/>
    </xf>
    <xf numFmtId="0" fontId="0" fillId="0" borderId="1" xfId="0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Continuous"/>
    </xf>
    <xf numFmtId="0" fontId="54" fillId="0" borderId="0" xfId="0" applyFont="1"/>
    <xf numFmtId="0" fontId="54" fillId="0" borderId="3" xfId="0" applyFont="1" applyBorder="1"/>
    <xf numFmtId="0" fontId="42" fillId="0" borderId="6" xfId="0" applyFont="1" applyBorder="1"/>
    <xf numFmtId="0" fontId="42" fillId="0" borderId="0" xfId="0" applyFont="1"/>
    <xf numFmtId="0" fontId="42" fillId="0" borderId="3" xfId="0" applyFont="1" applyBorder="1"/>
    <xf numFmtId="43" fontId="0" fillId="2" borderId="3" xfId="0" applyNumberFormat="1" applyFill="1" applyBorder="1"/>
    <xf numFmtId="14" fontId="5" fillId="0" borderId="3" xfId="0" applyNumberFormat="1" applyFont="1" applyBorder="1"/>
    <xf numFmtId="164" fontId="4" fillId="0" borderId="0" xfId="0" applyNumberFormat="1" applyFont="1" applyAlignment="1">
      <alignment vertical="center"/>
    </xf>
    <xf numFmtId="14" fontId="5" fillId="0" borderId="0" xfId="0" applyNumberFormat="1" applyFont="1"/>
    <xf numFmtId="164" fontId="9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0" fontId="46" fillId="0" borderId="0" xfId="0" applyFont="1" applyAlignment="1">
      <alignment horizontal="center" vertical="center" wrapText="1"/>
    </xf>
    <xf numFmtId="14" fontId="56" fillId="6" borderId="0" xfId="0" applyNumberFormat="1" applyFont="1" applyFill="1"/>
    <xf numFmtId="0" fontId="56" fillId="6" borderId="0" xfId="0" applyFont="1" applyFill="1" applyAlignment="1">
      <alignment vertical="center"/>
    </xf>
    <xf numFmtId="164" fontId="56" fillId="6" borderId="0" xfId="0" applyNumberFormat="1" applyFont="1" applyFill="1" applyAlignment="1">
      <alignment vertical="center"/>
    </xf>
    <xf numFmtId="14" fontId="56" fillId="6" borderId="1" xfId="0" applyNumberFormat="1" applyFont="1" applyFill="1" applyBorder="1"/>
    <xf numFmtId="0" fontId="56" fillId="6" borderId="1" xfId="0" applyFont="1" applyFill="1" applyBorder="1" applyAlignment="1">
      <alignment vertical="center"/>
    </xf>
    <xf numFmtId="164" fontId="56" fillId="6" borderId="1" xfId="0" applyNumberFormat="1" applyFont="1" applyFill="1" applyBorder="1" applyAlignment="1">
      <alignment vertical="center"/>
    </xf>
    <xf numFmtId="0" fontId="28" fillId="5" borderId="0" xfId="5" applyFont="1" applyFill="1" applyAlignment="1">
      <alignment vertical="center"/>
    </xf>
    <xf numFmtId="164" fontId="28" fillId="5" borderId="0" xfId="6" applyNumberFormat="1" applyFont="1" applyFill="1" applyBorder="1" applyAlignment="1">
      <alignment vertical="center"/>
    </xf>
    <xf numFmtId="164" fontId="25" fillId="2" borderId="0" xfId="2" applyNumberFormat="1" applyFont="1" applyFill="1" applyAlignment="1">
      <alignment vertical="top"/>
    </xf>
    <xf numFmtId="164" fontId="34" fillId="2" borderId="0" xfId="2" applyNumberFormat="1" applyFont="1" applyFill="1" applyAlignment="1">
      <alignment vertical="top"/>
    </xf>
    <xf numFmtId="164" fontId="32" fillId="2" borderId="0" xfId="2" applyNumberFormat="1" applyFont="1" applyFill="1" applyAlignment="1">
      <alignment vertical="top"/>
    </xf>
    <xf numFmtId="164" fontId="0" fillId="2" borderId="0" xfId="2" applyNumberFormat="1" applyFont="1" applyFill="1" applyBorder="1"/>
    <xf numFmtId="164" fontId="55" fillId="0" borderId="3" xfId="2" applyNumberFormat="1" applyFont="1" applyBorder="1" applyAlignment="1">
      <alignment vertical="center"/>
    </xf>
    <xf numFmtId="14" fontId="4" fillId="0" borderId="3" xfId="0" applyNumberFormat="1" applyFont="1" applyBorder="1" applyAlignment="1">
      <alignment vertical="center" wrapText="1"/>
    </xf>
    <xf numFmtId="164" fontId="4" fillId="0" borderId="1" xfId="2" applyNumberFormat="1" applyFont="1" applyBorder="1" applyAlignment="1">
      <alignment vertical="center"/>
    </xf>
    <xf numFmtId="164" fontId="29" fillId="2" borderId="0" xfId="6" applyNumberFormat="1" applyFont="1" applyFill="1" applyAlignment="1">
      <alignment vertical="center"/>
    </xf>
    <xf numFmtId="168" fontId="30" fillId="2" borderId="0" xfId="7" applyNumberFormat="1" applyFont="1" applyFill="1" applyAlignment="1">
      <alignment vertical="center"/>
    </xf>
    <xf numFmtId="164" fontId="29" fillId="2" borderId="0" xfId="6" applyNumberFormat="1" applyFont="1" applyFill="1" applyBorder="1" applyAlignment="1">
      <alignment vertical="center"/>
    </xf>
    <xf numFmtId="164" fontId="18" fillId="2" borderId="0" xfId="6" applyNumberFormat="1" applyFont="1" applyFill="1" applyBorder="1" applyAlignment="1">
      <alignment vertical="center"/>
    </xf>
    <xf numFmtId="164" fontId="18" fillId="0" borderId="0" xfId="2" applyNumberFormat="1" applyFont="1" applyFill="1" applyBorder="1" applyAlignment="1">
      <alignment vertical="center"/>
    </xf>
    <xf numFmtId="14" fontId="9" fillId="0" borderId="1" xfId="0" applyNumberFormat="1" applyFont="1" applyBorder="1" applyAlignment="1">
      <alignment vertical="center"/>
    </xf>
    <xf numFmtId="14" fontId="55" fillId="0" borderId="3" xfId="0" applyNumberFormat="1" applyFont="1" applyBorder="1" applyAlignment="1">
      <alignment vertical="center"/>
    </xf>
    <xf numFmtId="43" fontId="58" fillId="4" borderId="0" xfId="0" applyNumberFormat="1" applyFont="1" applyFill="1"/>
    <xf numFmtId="43" fontId="58" fillId="4" borderId="3" xfId="0" applyNumberFormat="1" applyFont="1" applyFill="1" applyBorder="1"/>
    <xf numFmtId="164" fontId="51" fillId="3" borderId="0" xfId="2" applyNumberFormat="1" applyFont="1" applyFill="1" applyAlignment="1">
      <alignment vertical="center"/>
    </xf>
    <xf numFmtId="168" fontId="18" fillId="3" borderId="0" xfId="0" applyNumberFormat="1" applyFont="1" applyFill="1" applyAlignment="1">
      <alignment vertical="center"/>
    </xf>
    <xf numFmtId="164" fontId="29" fillId="3" borderId="0" xfId="6" applyNumberFormat="1" applyFont="1" applyFill="1" applyAlignment="1">
      <alignment vertical="center"/>
    </xf>
    <xf numFmtId="164" fontId="18" fillId="3" borderId="0" xfId="6" applyNumberFormat="1" applyFont="1" applyFill="1" applyAlignment="1">
      <alignment vertical="center"/>
    </xf>
    <xf numFmtId="164" fontId="29" fillId="3" borderId="0" xfId="6" applyNumberFormat="1" applyFont="1" applyFill="1" applyBorder="1" applyAlignment="1">
      <alignment vertical="center"/>
    </xf>
    <xf numFmtId="164" fontId="30" fillId="3" borderId="0" xfId="6" applyNumberFormat="1" applyFont="1" applyFill="1" applyAlignment="1">
      <alignment vertical="center"/>
    </xf>
    <xf numFmtId="164" fontId="11" fillId="3" borderId="0" xfId="6" applyNumberFormat="1" applyFont="1" applyFill="1" applyAlignment="1">
      <alignment vertical="center"/>
    </xf>
    <xf numFmtId="14" fontId="4" fillId="0" borderId="0" xfId="0" applyNumberFormat="1" applyFont="1" applyAlignment="1">
      <alignment vertical="center" wrapText="1"/>
    </xf>
    <xf numFmtId="0" fontId="4" fillId="2" borderId="3" xfId="0" applyFont="1" applyFill="1" applyBorder="1"/>
    <xf numFmtId="9" fontId="15" fillId="0" borderId="0" xfId="7" applyFont="1" applyFill="1" applyBorder="1" applyAlignment="1">
      <alignment vertical="center"/>
    </xf>
    <xf numFmtId="164" fontId="43" fillId="0" borderId="0" xfId="2" applyNumberFormat="1" applyFont="1" applyFill="1" applyAlignment="1">
      <alignment vertical="top"/>
    </xf>
    <xf numFmtId="164" fontId="15" fillId="0" borderId="0" xfId="6" applyNumberFormat="1" applyFont="1" applyFill="1" applyBorder="1" applyAlignment="1">
      <alignment vertical="center"/>
    </xf>
    <xf numFmtId="0" fontId="59" fillId="0" borderId="0" xfId="6" applyNumberFormat="1" applyFont="1" applyAlignment="1">
      <alignment vertical="center"/>
    </xf>
    <xf numFmtId="164" fontId="59" fillId="0" borderId="0" xfId="6" applyNumberFormat="1" applyFont="1" applyAlignment="1">
      <alignment vertical="center"/>
    </xf>
    <xf numFmtId="164" fontId="59" fillId="2" borderId="0" xfId="2" applyNumberFormat="1" applyFont="1" applyFill="1" applyAlignment="1">
      <alignment vertical="center"/>
    </xf>
    <xf numFmtId="164" fontId="59" fillId="3" borderId="0" xfId="2" applyNumberFormat="1" applyFont="1" applyFill="1" applyAlignment="1">
      <alignment vertical="center"/>
    </xf>
    <xf numFmtId="168" fontId="59" fillId="3" borderId="0" xfId="3" applyNumberFormat="1" applyFont="1" applyFill="1" applyAlignment="1">
      <alignment vertical="center"/>
    </xf>
    <xf numFmtId="3" fontId="18" fillId="2" borderId="0" xfId="0" applyNumberFormat="1" applyFont="1" applyFill="1"/>
    <xf numFmtId="168" fontId="29" fillId="2" borderId="0" xfId="7" applyNumberFormat="1" applyFont="1" applyFill="1" applyAlignment="1">
      <alignment vertical="center"/>
    </xf>
    <xf numFmtId="168" fontId="18" fillId="2" borderId="0" xfId="7" applyNumberFormat="1" applyFont="1" applyFill="1" applyAlignment="1">
      <alignment vertical="center"/>
    </xf>
    <xf numFmtId="9" fontId="18" fillId="3" borderId="0" xfId="3" applyFont="1" applyFill="1" applyAlignment="1">
      <alignment vertical="center"/>
    </xf>
    <xf numFmtId="10" fontId="18" fillId="3" borderId="0" xfId="3" applyNumberFormat="1" applyFont="1" applyFill="1" applyAlignment="1">
      <alignment vertical="center"/>
    </xf>
    <xf numFmtId="168" fontId="51" fillId="2" borderId="0" xfId="7" applyNumberFormat="1" applyFont="1" applyFill="1" applyAlignment="1">
      <alignment vertical="center"/>
    </xf>
    <xf numFmtId="168" fontId="18" fillId="0" borderId="0" xfId="6" applyNumberFormat="1" applyFont="1" applyFill="1" applyAlignment="1">
      <alignment vertical="center"/>
    </xf>
    <xf numFmtId="168" fontId="18" fillId="0" borderId="0" xfId="7" applyNumberFormat="1" applyFont="1" applyFill="1" applyAlignment="1">
      <alignment vertical="center"/>
    </xf>
    <xf numFmtId="168" fontId="11" fillId="2" borderId="0" xfId="7" applyNumberFormat="1" applyFont="1" applyFill="1" applyAlignment="1">
      <alignment vertical="center"/>
    </xf>
    <xf numFmtId="164" fontId="18" fillId="3" borderId="0" xfId="6" applyNumberFormat="1" applyFont="1" applyFill="1" applyBorder="1" applyAlignment="1">
      <alignment vertical="center"/>
    </xf>
    <xf numFmtId="168" fontId="25" fillId="2" borderId="0" xfId="2" applyNumberFormat="1" applyFont="1" applyFill="1" applyAlignment="1">
      <alignment horizontal="right" vertical="center"/>
    </xf>
    <xf numFmtId="9" fontId="48" fillId="0" borderId="0" xfId="0" applyNumberFormat="1" applyFont="1" applyAlignment="1">
      <alignment vertical="center"/>
    </xf>
    <xf numFmtId="168" fontId="48" fillId="0" borderId="0" xfId="0" applyNumberFormat="1" applyFont="1" applyAlignment="1">
      <alignment vertical="center"/>
    </xf>
    <xf numFmtId="0" fontId="0" fillId="2" borderId="0" xfId="0" applyFill="1"/>
    <xf numFmtId="0" fontId="0" fillId="2" borderId="3" xfId="0" applyFill="1" applyBorder="1"/>
    <xf numFmtId="164" fontId="59" fillId="0" borderId="0" xfId="6" applyNumberFormat="1" applyFont="1" applyFill="1" applyAlignment="1">
      <alignment vertical="center"/>
    </xf>
    <xf numFmtId="168" fontId="25" fillId="2" borderId="0" xfId="7" applyNumberFormat="1" applyFont="1" applyFill="1" applyBorder="1" applyAlignment="1">
      <alignment vertical="center"/>
    </xf>
    <xf numFmtId="164" fontId="59" fillId="2" borderId="0" xfId="6" applyNumberFormat="1" applyFont="1" applyFill="1" applyAlignment="1">
      <alignment vertical="center"/>
    </xf>
    <xf numFmtId="164" fontId="59" fillId="3" borderId="0" xfId="6" applyNumberFormat="1" applyFont="1" applyFill="1" applyAlignment="1">
      <alignment vertical="center"/>
    </xf>
    <xf numFmtId="164" fontId="11" fillId="0" borderId="0" xfId="6" applyNumberFormat="1" applyFont="1" applyFill="1" applyBorder="1" applyAlignment="1">
      <alignment vertical="center"/>
    </xf>
    <xf numFmtId="164" fontId="0" fillId="0" borderId="0" xfId="0" applyNumberFormat="1"/>
    <xf numFmtId="164" fontId="55" fillId="0" borderId="0" xfId="2" applyNumberFormat="1" applyFont="1"/>
    <xf numFmtId="168" fontId="25" fillId="0" borderId="0" xfId="0" applyNumberFormat="1" applyFont="1" applyAlignment="1">
      <alignment vertical="center"/>
    </xf>
    <xf numFmtId="164" fontId="32" fillId="2" borderId="0" xfId="2" applyNumberFormat="1" applyFont="1" applyFill="1" applyBorder="1" applyAlignment="1">
      <alignment vertical="top"/>
    </xf>
    <xf numFmtId="164" fontId="25" fillId="2" borderId="0" xfId="2" applyNumberFormat="1" applyFont="1" applyFill="1" applyBorder="1" applyAlignment="1">
      <alignment vertical="top"/>
    </xf>
    <xf numFmtId="164" fontId="60" fillId="2" borderId="0" xfId="2" applyNumberFormat="1" applyFont="1" applyFill="1" applyAlignment="1">
      <alignment vertical="top"/>
    </xf>
    <xf numFmtId="168" fontId="57" fillId="2" borderId="0" xfId="7" applyNumberFormat="1" applyFont="1" applyFill="1" applyAlignment="1">
      <alignment vertical="center"/>
    </xf>
    <xf numFmtId="164" fontId="25" fillId="3" borderId="0" xfId="2" applyNumberFormat="1" applyFont="1" applyFill="1" applyAlignment="1">
      <alignment vertical="top"/>
    </xf>
    <xf numFmtId="164" fontId="60" fillId="3" borderId="0" xfId="2" applyNumberFormat="1" applyFont="1" applyFill="1" applyAlignment="1">
      <alignment vertical="top"/>
    </xf>
    <xf numFmtId="164" fontId="25" fillId="3" borderId="0" xfId="2" applyNumberFormat="1" applyFont="1" applyFill="1" applyBorder="1" applyAlignment="1">
      <alignment vertical="top"/>
    </xf>
    <xf numFmtId="43" fontId="18" fillId="3" borderId="0" xfId="6" applyFont="1" applyFill="1" applyAlignment="1">
      <alignment vertical="center"/>
    </xf>
    <xf numFmtId="43" fontId="18" fillId="3" borderId="0" xfId="2" applyFont="1" applyFill="1" applyAlignment="1">
      <alignment vertical="center"/>
    </xf>
    <xf numFmtId="43" fontId="18" fillId="3" borderId="0" xfId="3" applyNumberFormat="1" applyFont="1" applyFill="1" applyAlignment="1">
      <alignment vertical="center"/>
    </xf>
    <xf numFmtId="164" fontId="37" fillId="5" borderId="0" xfId="6" applyNumberFormat="1" applyFont="1" applyFill="1" applyBorder="1" applyAlignment="1">
      <alignment vertical="center"/>
    </xf>
    <xf numFmtId="164" fontId="50" fillId="5" borderId="0" xfId="6" applyNumberFormat="1" applyFont="1" applyFill="1" applyBorder="1" applyAlignment="1">
      <alignment vertical="center"/>
    </xf>
    <xf numFmtId="10" fontId="9" fillId="3" borderId="0" xfId="3" applyNumberFormat="1" applyFont="1" applyFill="1"/>
    <xf numFmtId="168" fontId="61" fillId="2" borderId="0" xfId="7" applyNumberFormat="1" applyFont="1" applyFill="1" applyAlignment="1">
      <alignment vertical="center"/>
    </xf>
    <xf numFmtId="164" fontId="62" fillId="2" borderId="0" xfId="2" applyNumberFormat="1" applyFont="1" applyFill="1" applyBorder="1" applyAlignment="1">
      <alignment vertical="top"/>
    </xf>
    <xf numFmtId="164" fontId="62" fillId="3" borderId="0" xfId="2" applyNumberFormat="1" applyFont="1" applyFill="1" applyBorder="1" applyAlignment="1">
      <alignment vertical="top"/>
    </xf>
    <xf numFmtId="44" fontId="11" fillId="2" borderId="0" xfId="9" applyFont="1" applyFill="1" applyBorder="1" applyAlignment="1">
      <alignment vertical="center"/>
    </xf>
    <xf numFmtId="44" fontId="11" fillId="3" borderId="0" xfId="9" applyFont="1" applyFill="1" applyAlignment="1">
      <alignment vertical="center"/>
    </xf>
    <xf numFmtId="44" fontId="51" fillId="2" borderId="0" xfId="9" applyFont="1" applyFill="1" applyAlignment="1">
      <alignment vertical="center"/>
    </xf>
    <xf numFmtId="44" fontId="51" fillId="3" borderId="0" xfId="9" applyFont="1" applyFill="1" applyAlignment="1">
      <alignment vertical="center"/>
    </xf>
    <xf numFmtId="10" fontId="0" fillId="0" borderId="0" xfId="3" applyNumberFormat="1" applyFont="1"/>
    <xf numFmtId="43" fontId="18" fillId="2" borderId="0" xfId="2" applyFont="1" applyFill="1" applyAlignment="1">
      <alignment vertical="center"/>
    </xf>
    <xf numFmtId="164" fontId="18" fillId="2" borderId="0" xfId="2" applyNumberFormat="1" applyFont="1" applyFill="1" applyAlignment="1">
      <alignment vertical="center"/>
    </xf>
    <xf numFmtId="164" fontId="18" fillId="3" borderId="0" xfId="2" applyNumberFormat="1" applyFont="1" applyFill="1" applyAlignment="1">
      <alignment vertical="center"/>
    </xf>
    <xf numFmtId="43" fontId="18" fillId="2" borderId="0" xfId="6" applyFont="1" applyFill="1" applyAlignment="1">
      <alignment vertical="center"/>
    </xf>
    <xf numFmtId="10" fontId="18" fillId="2" borderId="0" xfId="3" applyNumberFormat="1" applyFont="1" applyFill="1" applyAlignment="1">
      <alignment vertical="center"/>
    </xf>
    <xf numFmtId="43" fontId="18" fillId="2" borderId="0" xfId="3" applyNumberFormat="1" applyFont="1" applyFill="1" applyAlignment="1">
      <alignment vertical="center"/>
    </xf>
    <xf numFmtId="9" fontId="18" fillId="2" borderId="0" xfId="3" applyFont="1" applyFill="1" applyAlignment="1">
      <alignment vertical="center"/>
    </xf>
    <xf numFmtId="10" fontId="9" fillId="2" borderId="0" xfId="3" applyNumberFormat="1" applyFont="1" applyFill="1"/>
    <xf numFmtId="10" fontId="0" fillId="2" borderId="0" xfId="3" applyNumberFormat="1" applyFont="1" applyFill="1"/>
    <xf numFmtId="10" fontId="0" fillId="3" borderId="0" xfId="3" applyNumberFormat="1" applyFont="1" applyFill="1"/>
    <xf numFmtId="43" fontId="25" fillId="0" borderId="0" xfId="2" applyFont="1" applyAlignment="1">
      <alignment vertical="top"/>
    </xf>
    <xf numFmtId="43" fontId="18" fillId="0" borderId="0" xfId="2" applyFont="1" applyAlignment="1">
      <alignment vertical="center"/>
    </xf>
    <xf numFmtId="0" fontId="25" fillId="0" borderId="0" xfId="0" applyFont="1" applyAlignment="1">
      <alignment vertical="center"/>
    </xf>
    <xf numFmtId="164" fontId="25" fillId="3" borderId="0" xfId="2" applyNumberFormat="1" applyFont="1" applyFill="1" applyAlignment="1">
      <alignment vertical="center"/>
    </xf>
    <xf numFmtId="164" fontId="32" fillId="3" borderId="0" xfId="2" applyNumberFormat="1" applyFont="1" applyFill="1" applyAlignment="1">
      <alignment vertical="top"/>
    </xf>
    <xf numFmtId="0" fontId="48" fillId="0" borderId="0" xfId="5" applyFont="1" applyAlignment="1">
      <alignment vertical="top"/>
    </xf>
    <xf numFmtId="168" fontId="48" fillId="2" borderId="0" xfId="7" applyNumberFormat="1" applyFont="1" applyFill="1" applyAlignment="1">
      <alignment vertical="center"/>
    </xf>
    <xf numFmtId="164" fontId="48" fillId="2" borderId="0" xfId="2" applyNumberFormat="1" applyFont="1" applyFill="1" applyAlignment="1">
      <alignment vertical="top"/>
    </xf>
    <xf numFmtId="164" fontId="48" fillId="3" borderId="0" xfId="6" applyNumberFormat="1" applyFont="1" applyFill="1" applyAlignment="1">
      <alignment vertical="center"/>
    </xf>
    <xf numFmtId="164" fontId="48" fillId="2" borderId="0" xfId="2" applyNumberFormat="1" applyFont="1" applyFill="1" applyBorder="1" applyAlignment="1">
      <alignment vertical="top"/>
    </xf>
    <xf numFmtId="168" fontId="32" fillId="2" borderId="0" xfId="7" applyNumberFormat="1" applyFont="1" applyFill="1" applyAlignment="1">
      <alignment vertical="center"/>
    </xf>
    <xf numFmtId="164" fontId="34" fillId="3" borderId="0" xfId="6" applyNumberFormat="1" applyFont="1" applyFill="1" applyAlignment="1">
      <alignment vertical="center"/>
    </xf>
  </cellXfs>
  <cellStyles count="10">
    <cellStyle name="Comma" xfId="2" builtinId="3"/>
    <cellStyle name="Comma 2" xfId="6" xr:uid="{B590D2A9-8EA9-2649-A604-FC4CA92815EA}"/>
    <cellStyle name="Currency" xfId="9" builtinId="4"/>
    <cellStyle name="Hyperlink" xfId="1" builtinId="8" customBuiltin="1"/>
    <cellStyle name="Normal" xfId="0" builtinId="0"/>
    <cellStyle name="Normal 2" xfId="4" xr:uid="{B2B0DBAA-54E1-4A0F-98C0-6E7A52F4B00B}"/>
    <cellStyle name="Normal 3" xfId="5" xr:uid="{A318EACF-4F97-524C-92C3-9CF5503F41D5}"/>
    <cellStyle name="Normal 4" xfId="8" xr:uid="{092BCB12-4E03-4F00-A068-2AF937C01F2F}"/>
    <cellStyle name="Percent" xfId="3" builtinId="5"/>
    <cellStyle name="Percent 2" xfId="7" xr:uid="{BF23BA0F-467D-5640-BCDE-A8DB00DC14C4}"/>
  </cellStyles>
  <dxfs count="7">
    <dxf>
      <numFmt numFmtId="164" formatCode="_(* #,##0_);_(* \(#,##0\);_(* &quot;-&quot;??_);_(@_)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numFmt numFmtId="164" formatCode="_(* #,##0_);_(* \(#,##0\);_(* &quot;-&quot;??_);_(@_)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numFmt numFmtId="164" formatCode="_(* #,##0_);_(* \(#,##0\);_(* &quot;-&quot;??_);_(@_)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z val="12"/>
        <color auto="1"/>
        <family val="1"/>
      </font>
      <numFmt numFmtId="19" formatCode="m/d/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9900"/>
      <color rgb="FFFF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ULTA Quaterly Sales </a:t>
            </a:r>
          </a:p>
          <a:p>
            <a:pPr>
              <a:defRPr/>
            </a:pPr>
            <a:r>
              <a:rPr lang="en-US"/>
              <a:t>(Apr 2005 - Aug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'ULTA Q Rev (Acual)'!$C$4</c:f>
              <c:strCache>
                <c:ptCount val="1"/>
                <c:pt idx="0">
                  <c:v>Q Sales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'ULTA Q Rev (Acual)'!$B$5:$B$86</c:f>
              <c:numCache>
                <c:formatCode>d\-mmm\-yy</c:formatCode>
                <c:ptCount val="82"/>
                <c:pt idx="0">
                  <c:v>38472</c:v>
                </c:pt>
                <c:pt idx="1">
                  <c:v>38564</c:v>
                </c:pt>
                <c:pt idx="2">
                  <c:v>38656</c:v>
                </c:pt>
                <c:pt idx="3">
                  <c:v>38748</c:v>
                </c:pt>
                <c:pt idx="4">
                  <c:v>38837</c:v>
                </c:pt>
                <c:pt idx="5">
                  <c:v>38929</c:v>
                </c:pt>
                <c:pt idx="6">
                  <c:v>39021</c:v>
                </c:pt>
                <c:pt idx="7">
                  <c:v>39113</c:v>
                </c:pt>
                <c:pt idx="8">
                  <c:v>39202</c:v>
                </c:pt>
                <c:pt idx="9">
                  <c:v>39293</c:v>
                </c:pt>
                <c:pt idx="10">
                  <c:v>39386</c:v>
                </c:pt>
                <c:pt idx="11">
                  <c:v>39478</c:v>
                </c:pt>
                <c:pt idx="12">
                  <c:v>39568</c:v>
                </c:pt>
                <c:pt idx="13">
                  <c:v>39660</c:v>
                </c:pt>
                <c:pt idx="14">
                  <c:v>39752</c:v>
                </c:pt>
                <c:pt idx="15">
                  <c:v>39844</c:v>
                </c:pt>
                <c:pt idx="16">
                  <c:v>39933</c:v>
                </c:pt>
                <c:pt idx="17">
                  <c:v>40025</c:v>
                </c:pt>
                <c:pt idx="18">
                  <c:v>40117</c:v>
                </c:pt>
                <c:pt idx="19">
                  <c:v>40209</c:v>
                </c:pt>
                <c:pt idx="20">
                  <c:v>40298</c:v>
                </c:pt>
                <c:pt idx="21">
                  <c:v>40390</c:v>
                </c:pt>
                <c:pt idx="22">
                  <c:v>40482</c:v>
                </c:pt>
                <c:pt idx="23">
                  <c:v>40574</c:v>
                </c:pt>
                <c:pt idx="24">
                  <c:v>40663</c:v>
                </c:pt>
                <c:pt idx="25">
                  <c:v>40755</c:v>
                </c:pt>
                <c:pt idx="26">
                  <c:v>40847</c:v>
                </c:pt>
                <c:pt idx="27">
                  <c:v>40939</c:v>
                </c:pt>
                <c:pt idx="28">
                  <c:v>41029</c:v>
                </c:pt>
                <c:pt idx="29">
                  <c:v>41121</c:v>
                </c:pt>
                <c:pt idx="30">
                  <c:v>41213</c:v>
                </c:pt>
                <c:pt idx="31">
                  <c:v>41365</c:v>
                </c:pt>
                <c:pt idx="32">
                  <c:v>41435</c:v>
                </c:pt>
                <c:pt idx="33">
                  <c:v>41528</c:v>
                </c:pt>
                <c:pt idx="34">
                  <c:v>41612</c:v>
                </c:pt>
                <c:pt idx="35">
                  <c:v>41728</c:v>
                </c:pt>
                <c:pt idx="36">
                  <c:v>41794</c:v>
                </c:pt>
                <c:pt idx="37">
                  <c:v>41823</c:v>
                </c:pt>
                <c:pt idx="38">
                  <c:v>41976</c:v>
                </c:pt>
                <c:pt idx="39">
                  <c:v>42091</c:v>
                </c:pt>
                <c:pt idx="40">
                  <c:v>42157</c:v>
                </c:pt>
                <c:pt idx="41">
                  <c:v>42241</c:v>
                </c:pt>
                <c:pt idx="42">
                  <c:v>42339</c:v>
                </c:pt>
                <c:pt idx="43">
                  <c:v>42463</c:v>
                </c:pt>
                <c:pt idx="44">
                  <c:v>42522</c:v>
                </c:pt>
                <c:pt idx="45">
                  <c:v>42613</c:v>
                </c:pt>
                <c:pt idx="46">
                  <c:v>42704</c:v>
                </c:pt>
                <c:pt idx="47">
                  <c:v>42827</c:v>
                </c:pt>
                <c:pt idx="48">
                  <c:v>42887</c:v>
                </c:pt>
                <c:pt idx="49">
                  <c:v>42977</c:v>
                </c:pt>
                <c:pt idx="50">
                  <c:v>43075</c:v>
                </c:pt>
                <c:pt idx="51">
                  <c:v>43186</c:v>
                </c:pt>
                <c:pt idx="52">
                  <c:v>43250</c:v>
                </c:pt>
                <c:pt idx="53">
                  <c:v>43341</c:v>
                </c:pt>
                <c:pt idx="54">
                  <c:v>43439</c:v>
                </c:pt>
                <c:pt idx="55">
                  <c:v>43550</c:v>
                </c:pt>
                <c:pt idx="56">
                  <c:v>43613</c:v>
                </c:pt>
                <c:pt idx="57">
                  <c:v>43704</c:v>
                </c:pt>
                <c:pt idx="58">
                  <c:v>43802</c:v>
                </c:pt>
                <c:pt idx="59">
                  <c:v>43915</c:v>
                </c:pt>
                <c:pt idx="60">
                  <c:v>43978</c:v>
                </c:pt>
                <c:pt idx="61">
                  <c:v>44068</c:v>
                </c:pt>
                <c:pt idx="62">
                  <c:v>44167</c:v>
                </c:pt>
                <c:pt idx="63">
                  <c:v>44279</c:v>
                </c:pt>
                <c:pt idx="64">
                  <c:v>44342</c:v>
                </c:pt>
                <c:pt idx="65">
                  <c:v>44433</c:v>
                </c:pt>
                <c:pt idx="66">
                  <c:v>44531</c:v>
                </c:pt>
                <c:pt idx="67">
                  <c:v>44646</c:v>
                </c:pt>
                <c:pt idx="68">
                  <c:v>44706</c:v>
                </c:pt>
                <c:pt idx="69">
                  <c:v>44797</c:v>
                </c:pt>
                <c:pt idx="70">
                  <c:v>44895</c:v>
                </c:pt>
                <c:pt idx="71">
                  <c:v>45012</c:v>
                </c:pt>
                <c:pt idx="72">
                  <c:v>45076</c:v>
                </c:pt>
                <c:pt idx="73">
                  <c:v>45167</c:v>
                </c:pt>
                <c:pt idx="74">
                  <c:v>45265</c:v>
                </c:pt>
                <c:pt idx="75">
                  <c:v>45378</c:v>
                </c:pt>
                <c:pt idx="76">
                  <c:v>45441</c:v>
                </c:pt>
                <c:pt idx="77">
                  <c:v>45532</c:v>
                </c:pt>
                <c:pt idx="78">
                  <c:v>45631</c:v>
                </c:pt>
                <c:pt idx="79">
                  <c:v>45743</c:v>
                </c:pt>
                <c:pt idx="80">
                  <c:v>45806</c:v>
                </c:pt>
                <c:pt idx="81">
                  <c:v>45897</c:v>
                </c:pt>
              </c:numCache>
            </c:numRef>
          </c:cat>
          <c:val>
            <c:numRef>
              <c:f>'ULTA Q Rev (Acual)'!$C$5:$C$86</c:f>
              <c:numCache>
                <c:formatCode>#,##0</c:formatCode>
                <c:ptCount val="82"/>
                <c:pt idx="0">
                  <c:v>144769</c:v>
                </c:pt>
                <c:pt idx="1">
                  <c:v>144769</c:v>
                </c:pt>
                <c:pt idx="2">
                  <c:v>144769</c:v>
                </c:pt>
                <c:pt idx="3">
                  <c:v>144768</c:v>
                </c:pt>
                <c:pt idx="4">
                  <c:v>159468</c:v>
                </c:pt>
                <c:pt idx="5">
                  <c:v>162558</c:v>
                </c:pt>
                <c:pt idx="6">
                  <c:v>216544</c:v>
                </c:pt>
                <c:pt idx="7">
                  <c:v>216543</c:v>
                </c:pt>
                <c:pt idx="8">
                  <c:v>194113</c:v>
                </c:pt>
                <c:pt idx="9">
                  <c:v>200449</c:v>
                </c:pt>
                <c:pt idx="10">
                  <c:v>208235</c:v>
                </c:pt>
                <c:pt idx="11">
                  <c:v>309344</c:v>
                </c:pt>
                <c:pt idx="12">
                  <c:v>239298</c:v>
                </c:pt>
                <c:pt idx="13">
                  <c:v>249111</c:v>
                </c:pt>
                <c:pt idx="14">
                  <c:v>254843</c:v>
                </c:pt>
                <c:pt idx="15">
                  <c:v>341394</c:v>
                </c:pt>
                <c:pt idx="16">
                  <c:v>268825</c:v>
                </c:pt>
                <c:pt idx="17">
                  <c:v>273539</c:v>
                </c:pt>
                <c:pt idx="18">
                  <c:v>284043</c:v>
                </c:pt>
                <c:pt idx="19">
                  <c:v>396364</c:v>
                </c:pt>
                <c:pt idx="20">
                  <c:v>320196</c:v>
                </c:pt>
                <c:pt idx="21">
                  <c:v>321804</c:v>
                </c:pt>
                <c:pt idx="22">
                  <c:v>339179</c:v>
                </c:pt>
                <c:pt idx="23">
                  <c:v>473659</c:v>
                </c:pt>
                <c:pt idx="24">
                  <c:v>386006</c:v>
                </c:pt>
                <c:pt idx="25">
                  <c:v>394567</c:v>
                </c:pt>
                <c:pt idx="26">
                  <c:v>413067</c:v>
                </c:pt>
                <c:pt idx="27">
                  <c:v>582511</c:v>
                </c:pt>
                <c:pt idx="28">
                  <c:v>474098</c:v>
                </c:pt>
                <c:pt idx="29">
                  <c:v>481683</c:v>
                </c:pt>
                <c:pt idx="30">
                  <c:v>505640</c:v>
                </c:pt>
                <c:pt idx="31">
                  <c:v>758835</c:v>
                </c:pt>
                <c:pt idx="32">
                  <c:v>582712</c:v>
                </c:pt>
                <c:pt idx="33" formatCode="_(* #,##0_);_(* \(#,##0\);_(* &quot;-&quot;??_);_(@_)">
                  <c:v>600998</c:v>
                </c:pt>
                <c:pt idx="34">
                  <c:v>618781</c:v>
                </c:pt>
                <c:pt idx="35">
                  <c:v>868082</c:v>
                </c:pt>
                <c:pt idx="36">
                  <c:v>713770</c:v>
                </c:pt>
                <c:pt idx="37">
                  <c:v>734236</c:v>
                </c:pt>
                <c:pt idx="38">
                  <c:v>745722</c:v>
                </c:pt>
                <c:pt idx="39">
                  <c:v>1047641</c:v>
                </c:pt>
                <c:pt idx="40">
                  <c:v>868122</c:v>
                </c:pt>
                <c:pt idx="41">
                  <c:v>876999</c:v>
                </c:pt>
                <c:pt idx="42">
                  <c:v>910700</c:v>
                </c:pt>
                <c:pt idx="43">
                  <c:v>1268295</c:v>
                </c:pt>
                <c:pt idx="44">
                  <c:v>1073716</c:v>
                </c:pt>
                <c:pt idx="45">
                  <c:v>1069215</c:v>
                </c:pt>
                <c:pt idx="46">
                  <c:v>1131232</c:v>
                </c:pt>
                <c:pt idx="47">
                  <c:v>1580574</c:v>
                </c:pt>
                <c:pt idx="48">
                  <c:v>1314879</c:v>
                </c:pt>
                <c:pt idx="49">
                  <c:v>1289854</c:v>
                </c:pt>
                <c:pt idx="50">
                  <c:v>1342181</c:v>
                </c:pt>
                <c:pt idx="51">
                  <c:v>1937592</c:v>
                </c:pt>
                <c:pt idx="52">
                  <c:v>1543667</c:v>
                </c:pt>
                <c:pt idx="53">
                  <c:v>1488221</c:v>
                </c:pt>
                <c:pt idx="54">
                  <c:v>1560011</c:v>
                </c:pt>
                <c:pt idx="55">
                  <c:v>2124716</c:v>
                </c:pt>
                <c:pt idx="56">
                  <c:v>1743029</c:v>
                </c:pt>
                <c:pt idx="57">
                  <c:v>1666607</c:v>
                </c:pt>
                <c:pt idx="58">
                  <c:v>1682514</c:v>
                </c:pt>
                <c:pt idx="59">
                  <c:v>2305918</c:v>
                </c:pt>
                <c:pt idx="60">
                  <c:v>1173210</c:v>
                </c:pt>
                <c:pt idx="61">
                  <c:v>1228009</c:v>
                </c:pt>
                <c:pt idx="62">
                  <c:v>1552033</c:v>
                </c:pt>
                <c:pt idx="63">
                  <c:v>2198701</c:v>
                </c:pt>
                <c:pt idx="64">
                  <c:v>1938519</c:v>
                </c:pt>
                <c:pt idx="65">
                  <c:v>1967207</c:v>
                </c:pt>
                <c:pt idx="66">
                  <c:v>1995775</c:v>
                </c:pt>
                <c:pt idx="67">
                  <c:v>2729388</c:v>
                </c:pt>
                <c:pt idx="68">
                  <c:v>2345901</c:v>
                </c:pt>
                <c:pt idx="69">
                  <c:v>2297113</c:v>
                </c:pt>
                <c:pt idx="70">
                  <c:v>2338793</c:v>
                </c:pt>
                <c:pt idx="71">
                  <c:v>3226773</c:v>
                </c:pt>
                <c:pt idx="72">
                  <c:v>2634263</c:v>
                </c:pt>
                <c:pt idx="73">
                  <c:v>2529809</c:v>
                </c:pt>
                <c:pt idx="74">
                  <c:v>2488933</c:v>
                </c:pt>
                <c:pt idx="75">
                  <c:v>3554298</c:v>
                </c:pt>
                <c:pt idx="76">
                  <c:v>2725848</c:v>
                </c:pt>
                <c:pt idx="77">
                  <c:v>2552087</c:v>
                </c:pt>
                <c:pt idx="78">
                  <c:v>2530100</c:v>
                </c:pt>
                <c:pt idx="79">
                  <c:v>3487619</c:v>
                </c:pt>
                <c:pt idx="80">
                  <c:v>2848367</c:v>
                </c:pt>
                <c:pt idx="81">
                  <c:v>2788469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10-4955-A9C6-DECBF97484C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805886496"/>
        <c:axId val="805886976"/>
      </c:lineChart>
      <c:dateAx>
        <c:axId val="80588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886976"/>
        <c:crosses val="autoZero"/>
        <c:auto val="1"/>
        <c:lblOffset val="100"/>
        <c:baseTimeUnit val="months"/>
      </c:dateAx>
      <c:valAx>
        <c:axId val="80588697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88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ULTA Yearly Sales</a:t>
            </a:r>
          </a:p>
          <a:p>
            <a:pPr>
              <a:defRPr/>
            </a:pPr>
            <a:r>
              <a:rPr lang="en-US"/>
              <a:t>(2006 - 2026)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'ULTA Q Rev (Acual)'!$D$4</c:f>
              <c:strCache>
                <c:ptCount val="1"/>
                <c:pt idx="0">
                  <c:v>Y Sales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cat>
            <c:numRef>
              <c:f>('ULTA Q Rev (Acual)'!$B$8,'ULTA Q Rev (Acual)'!$B$12,'ULTA Q Rev (Acual)'!$B$16,'ULTA Q Rev (Acual)'!$B$20,'ULTA Q Rev (Acual)'!$B$24,'ULTA Q Rev (Acual)'!$B$28,'ULTA Q Rev (Acual)'!$B$32,'ULTA Q Rev (Acual)'!$B$36,'ULTA Q Rev (Acual)'!$B$40,'ULTA Q Rev (Acual)'!$B$44,'ULTA Q Rev (Acual)'!$B$48,'ULTA Q Rev (Acual)'!$B$52,'ULTA Q Rev (Acual)'!$B$56,'ULTA Q Rev (Acual)'!$B$60,'ULTA Q Rev (Acual)'!$B$64,'ULTA Q Rev (Acual)'!$B$68,'ULTA Q Rev (Acual)'!$B$72,'ULTA Q Rev (Acual)'!$B$76,'ULTA Q Rev (Acual)'!$B$80,'ULTA Q Rev (Acual)'!$B$84)</c:f>
              <c:numCache>
                <c:formatCode>d\-mmm\-yy</c:formatCode>
                <c:ptCount val="20"/>
                <c:pt idx="0">
                  <c:v>38748</c:v>
                </c:pt>
                <c:pt idx="1">
                  <c:v>39113</c:v>
                </c:pt>
                <c:pt idx="2">
                  <c:v>39478</c:v>
                </c:pt>
                <c:pt idx="3">
                  <c:v>39844</c:v>
                </c:pt>
                <c:pt idx="4">
                  <c:v>40209</c:v>
                </c:pt>
                <c:pt idx="5">
                  <c:v>40574</c:v>
                </c:pt>
                <c:pt idx="6">
                  <c:v>40939</c:v>
                </c:pt>
                <c:pt idx="7">
                  <c:v>41365</c:v>
                </c:pt>
                <c:pt idx="8">
                  <c:v>41728</c:v>
                </c:pt>
                <c:pt idx="9">
                  <c:v>42091</c:v>
                </c:pt>
                <c:pt idx="10">
                  <c:v>42463</c:v>
                </c:pt>
                <c:pt idx="11">
                  <c:v>42827</c:v>
                </c:pt>
                <c:pt idx="12">
                  <c:v>43186</c:v>
                </c:pt>
                <c:pt idx="13">
                  <c:v>43550</c:v>
                </c:pt>
                <c:pt idx="14">
                  <c:v>43915</c:v>
                </c:pt>
                <c:pt idx="15">
                  <c:v>44279</c:v>
                </c:pt>
                <c:pt idx="16">
                  <c:v>44646</c:v>
                </c:pt>
                <c:pt idx="17">
                  <c:v>45012</c:v>
                </c:pt>
                <c:pt idx="18">
                  <c:v>45378</c:v>
                </c:pt>
                <c:pt idx="19">
                  <c:v>45743</c:v>
                </c:pt>
              </c:numCache>
            </c:numRef>
          </c:cat>
          <c:val>
            <c:numRef>
              <c:f>('ULTA Q Rev (Acual)'!$D$8,'ULTA Q Rev (Acual)'!$D$12,'ULTA Q Rev (Acual)'!$D$16,'ULTA Q Rev (Acual)'!$D$20,'ULTA Q Rev (Acual)'!$D$24,'ULTA Q Rev (Acual)'!$D$28,'ULTA Q Rev (Acual)'!$D$32,'ULTA Q Rev (Acual)'!$D$36,'ULTA Q Rev (Acual)'!$D$40,'ULTA Q Rev (Acual)'!$D$44,'ULTA Q Rev (Acual)'!$D$48,'ULTA Q Rev (Acual)'!$D$52,'ULTA Q Rev (Acual)'!$D$56,'ULTA Q Rev (Acual)'!$D$60,'ULTA Q Rev (Acual)'!$D$64,'ULTA Q Rev (Acual)'!$D$68,'ULTA Q Rev (Acual)'!$D$72,'ULTA Q Rev (Acual)'!$D$76,'ULTA Q Rev (Acual)'!$D$80,'ULTA Q Rev (Acual)'!$D$84)</c:f>
              <c:numCache>
                <c:formatCode>#,##0</c:formatCode>
                <c:ptCount val="20"/>
                <c:pt idx="0">
                  <c:v>579075</c:v>
                </c:pt>
                <c:pt idx="1">
                  <c:v>755113</c:v>
                </c:pt>
                <c:pt idx="2">
                  <c:v>912141</c:v>
                </c:pt>
                <c:pt idx="3">
                  <c:v>1084646</c:v>
                </c:pt>
                <c:pt idx="4">
                  <c:v>1222771</c:v>
                </c:pt>
                <c:pt idx="5">
                  <c:v>1454838</c:v>
                </c:pt>
                <c:pt idx="6">
                  <c:v>1776151</c:v>
                </c:pt>
                <c:pt idx="7">
                  <c:v>2220256</c:v>
                </c:pt>
                <c:pt idx="8">
                  <c:v>2670573</c:v>
                </c:pt>
                <c:pt idx="9">
                  <c:v>3241369</c:v>
                </c:pt>
                <c:pt idx="10">
                  <c:v>3924116</c:v>
                </c:pt>
                <c:pt idx="11">
                  <c:v>4854737</c:v>
                </c:pt>
                <c:pt idx="12">
                  <c:v>5884506</c:v>
                </c:pt>
                <c:pt idx="13">
                  <c:v>6716615</c:v>
                </c:pt>
                <c:pt idx="14">
                  <c:v>7398068</c:v>
                </c:pt>
                <c:pt idx="15">
                  <c:v>6151953</c:v>
                </c:pt>
                <c:pt idx="16">
                  <c:v>8630889</c:v>
                </c:pt>
                <c:pt idx="17">
                  <c:v>10208580</c:v>
                </c:pt>
                <c:pt idx="18">
                  <c:v>11207303</c:v>
                </c:pt>
                <c:pt idx="19">
                  <c:v>11295654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7-48FE-90B0-AB164CF00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09408480"/>
        <c:axId val="909408960"/>
      </c:lineChart>
      <c:dateAx>
        <c:axId val="90940848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408960"/>
        <c:crosses val="autoZero"/>
        <c:auto val="1"/>
        <c:lblOffset val="100"/>
        <c:baseTimeUnit val="months"/>
      </c:dateAx>
      <c:valAx>
        <c:axId val="90940896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40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Q</a:t>
            </a:r>
            <a:r>
              <a:rPr lang="en-US" sz="2000" baseline="0"/>
              <a:t> </a:t>
            </a:r>
            <a:r>
              <a:rPr lang="en-US" sz="2000"/>
              <a:t>SALES VS. 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'ULTA %Sales &amp; Trend'!$D$4</c:f>
              <c:strCache>
                <c:ptCount val="1"/>
                <c:pt idx="0">
                  <c:v>Q Sales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7007635173289661E-2"/>
                  <c:y val="0.3243967644194558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1" baseline="0"/>
                      <a:t>y = 1.6415x - 46658</a:t>
                    </a:r>
                    <a:br>
                      <a:rPr lang="en-US" sz="1400" b="1" baseline="0"/>
                    </a:br>
                    <a:r>
                      <a:rPr lang="en-US" sz="1400" b="1" baseline="0"/>
                      <a:t>R² = 0.9963</a:t>
                    </a:r>
                    <a:endParaRPr lang="en-US" sz="14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'ULTA %Sales &amp; Trend'!$H$13:$H$87</c:f>
              <c:numCache>
                <c:formatCode>_(* #,##0_);_(* \(#,##0\);_(* "-"??_);_(@_)</c:formatCode>
                <c:ptCount val="75"/>
                <c:pt idx="0">
                  <c:v>134600</c:v>
                </c:pt>
                <c:pt idx="1">
                  <c:v>141417</c:v>
                </c:pt>
                <c:pt idx="2">
                  <c:v>140156</c:v>
                </c:pt>
                <c:pt idx="3">
                  <c:v>212322</c:v>
                </c:pt>
                <c:pt idx="4">
                  <c:v>165377</c:v>
                </c:pt>
                <c:pt idx="5">
                  <c:v>175965</c:v>
                </c:pt>
                <c:pt idx="6">
                  <c:v>175368</c:v>
                </c:pt>
                <c:pt idx="7">
                  <c:v>240002</c:v>
                </c:pt>
                <c:pt idx="8">
                  <c:v>189283</c:v>
                </c:pt>
                <c:pt idx="9">
                  <c:v>194825</c:v>
                </c:pt>
                <c:pt idx="10">
                  <c:v>192372</c:v>
                </c:pt>
                <c:pt idx="11">
                  <c:v>269722</c:v>
                </c:pt>
                <c:pt idx="12">
                  <c:v>215661</c:v>
                </c:pt>
                <c:pt idx="13">
                  <c:v>217846</c:v>
                </c:pt>
                <c:pt idx="14">
                  <c:v>220273</c:v>
                </c:pt>
                <c:pt idx="15">
                  <c:v>316973</c:v>
                </c:pt>
                <c:pt idx="16">
                  <c:v>251101</c:v>
                </c:pt>
                <c:pt idx="17">
                  <c:v>260280</c:v>
                </c:pt>
                <c:pt idx="18">
                  <c:v>263884</c:v>
                </c:pt>
                <c:pt idx="19">
                  <c:v>384046</c:v>
                </c:pt>
                <c:pt idx="20">
                  <c:v>303186</c:v>
                </c:pt>
                <c:pt idx="21">
                  <c:v>314058</c:v>
                </c:pt>
                <c:pt idx="22">
                  <c:v>320147</c:v>
                </c:pt>
                <c:pt idx="23">
                  <c:v>499191</c:v>
                </c:pt>
                <c:pt idx="24">
                  <c:v>378763</c:v>
                </c:pt>
                <c:pt idx="25">
                  <c:v>388921</c:v>
                </c:pt>
                <c:pt idx="26">
                  <c:v>387120</c:v>
                </c:pt>
                <c:pt idx="27">
                  <c:v>574521</c:v>
                </c:pt>
                <c:pt idx="28">
                  <c:v>467817</c:v>
                </c:pt>
                <c:pt idx="29">
                  <c:v>474894</c:v>
                </c:pt>
                <c:pt idx="30">
                  <c:v>463967</c:v>
                </c:pt>
                <c:pt idx="31">
                  <c:v>697904</c:v>
                </c:pt>
                <c:pt idx="32">
                  <c:v>564938</c:v>
                </c:pt>
                <c:pt idx="33">
                  <c:v>570524</c:v>
                </c:pt>
                <c:pt idx="34">
                  <c:v>575062</c:v>
                </c:pt>
                <c:pt idx="35">
                  <c:v>829259</c:v>
                </c:pt>
                <c:pt idx="36">
                  <c:v>683286</c:v>
                </c:pt>
                <c:pt idx="37">
                  <c:v>684377</c:v>
                </c:pt>
                <c:pt idx="38">
                  <c:v>704179</c:v>
                </c:pt>
                <c:pt idx="39">
                  <c:v>1035666</c:v>
                </c:pt>
                <c:pt idx="40">
                  <c:v>838871</c:v>
                </c:pt>
                <c:pt idx="41">
                  <c:v>820528</c:v>
                </c:pt>
                <c:pt idx="42">
                  <c:v>849053</c:v>
                </c:pt>
                <c:pt idx="43">
                  <c:v>1279245</c:v>
                </c:pt>
                <c:pt idx="44">
                  <c:v>982954</c:v>
                </c:pt>
                <c:pt idx="45">
                  <c:v>952760</c:v>
                </c:pt>
                <c:pt idx="46">
                  <c:v>987733</c:v>
                </c:pt>
                <c:pt idx="47">
                  <c:v>1383857</c:v>
                </c:pt>
                <c:pt idx="48">
                  <c:v>1098182</c:v>
                </c:pt>
                <c:pt idx="49">
                  <c:v>1060708</c:v>
                </c:pt>
                <c:pt idx="50">
                  <c:v>1059081</c:v>
                </c:pt>
                <c:pt idx="51">
                  <c:v>1499033</c:v>
                </c:pt>
                <c:pt idx="52">
                  <c:v>869605</c:v>
                </c:pt>
                <c:pt idx="53">
                  <c:v>899002</c:v>
                </c:pt>
                <c:pt idx="54">
                  <c:v>1006514</c:v>
                </c:pt>
                <c:pt idx="55">
                  <c:v>1427673</c:v>
                </c:pt>
                <c:pt idx="56">
                  <c:v>1184731</c:v>
                </c:pt>
                <c:pt idx="57">
                  <c:v>1169244</c:v>
                </c:pt>
                <c:pt idx="58">
                  <c:v>1206301</c:v>
                </c:pt>
                <c:pt idx="59">
                  <c:v>1702059</c:v>
                </c:pt>
                <c:pt idx="60">
                  <c:v>1404875</c:v>
                </c:pt>
                <c:pt idx="61">
                  <c:v>1368949</c:v>
                </c:pt>
                <c:pt idx="62">
                  <c:v>1375976</c:v>
                </c:pt>
                <c:pt idx="63">
                  <c:v>2014270</c:v>
                </c:pt>
                <c:pt idx="64">
                  <c:v>1579406</c:v>
                </c:pt>
                <c:pt idx="65">
                  <c:v>1536197</c:v>
                </c:pt>
                <c:pt idx="66">
                  <c:v>1496866</c:v>
                </c:pt>
                <c:pt idx="67">
                  <c:v>2213734</c:v>
                </c:pt>
                <c:pt idx="68">
                  <c:v>1656068</c:v>
                </c:pt>
                <c:pt idx="69">
                  <c:v>1573910</c:v>
                </c:pt>
                <c:pt idx="70">
                  <c:v>1524456</c:v>
                </c:pt>
                <c:pt idx="71">
                  <c:v>2153967</c:v>
                </c:pt>
                <c:pt idx="72">
                  <c:v>1734148</c:v>
                </c:pt>
                <c:pt idx="73">
                  <c:v>1696773</c:v>
                </c:pt>
                <c:pt idx="74">
                  <c:v>1701958</c:v>
                </c:pt>
              </c:numCache>
            </c:numRef>
          </c:xVal>
          <c:yVal>
            <c:numRef>
              <c:f>'ULTA %Sales &amp; Trend'!$D$13:$D$87</c:f>
              <c:numCache>
                <c:formatCode>#,##0</c:formatCode>
                <c:ptCount val="75"/>
                <c:pt idx="0">
                  <c:v>194113</c:v>
                </c:pt>
                <c:pt idx="1">
                  <c:v>200449</c:v>
                </c:pt>
                <c:pt idx="2">
                  <c:v>208235</c:v>
                </c:pt>
                <c:pt idx="3">
                  <c:v>309344</c:v>
                </c:pt>
                <c:pt idx="4">
                  <c:v>239298</c:v>
                </c:pt>
                <c:pt idx="5">
                  <c:v>249111</c:v>
                </c:pt>
                <c:pt idx="6">
                  <c:v>254843</c:v>
                </c:pt>
                <c:pt idx="7">
                  <c:v>341394</c:v>
                </c:pt>
                <c:pt idx="8">
                  <c:v>268825</c:v>
                </c:pt>
                <c:pt idx="9">
                  <c:v>273539</c:v>
                </c:pt>
                <c:pt idx="10">
                  <c:v>284043</c:v>
                </c:pt>
                <c:pt idx="11">
                  <c:v>396364</c:v>
                </c:pt>
                <c:pt idx="12">
                  <c:v>320196</c:v>
                </c:pt>
                <c:pt idx="13">
                  <c:v>321804</c:v>
                </c:pt>
                <c:pt idx="14">
                  <c:v>339179</c:v>
                </c:pt>
                <c:pt idx="15">
                  <c:v>473659</c:v>
                </c:pt>
                <c:pt idx="16">
                  <c:v>386006</c:v>
                </c:pt>
                <c:pt idx="17">
                  <c:v>394567</c:v>
                </c:pt>
                <c:pt idx="18">
                  <c:v>413067</c:v>
                </c:pt>
                <c:pt idx="19">
                  <c:v>582511</c:v>
                </c:pt>
                <c:pt idx="20">
                  <c:v>474098</c:v>
                </c:pt>
                <c:pt idx="21">
                  <c:v>481683</c:v>
                </c:pt>
                <c:pt idx="22">
                  <c:v>505640</c:v>
                </c:pt>
                <c:pt idx="23">
                  <c:v>758835</c:v>
                </c:pt>
                <c:pt idx="24">
                  <c:v>582712</c:v>
                </c:pt>
                <c:pt idx="25">
                  <c:v>600998</c:v>
                </c:pt>
                <c:pt idx="26">
                  <c:v>618781</c:v>
                </c:pt>
                <c:pt idx="27">
                  <c:v>868082</c:v>
                </c:pt>
                <c:pt idx="28">
                  <c:v>713770</c:v>
                </c:pt>
                <c:pt idx="29">
                  <c:v>734236</c:v>
                </c:pt>
                <c:pt idx="30">
                  <c:v>745722</c:v>
                </c:pt>
                <c:pt idx="31">
                  <c:v>1047641</c:v>
                </c:pt>
                <c:pt idx="32">
                  <c:v>868122</c:v>
                </c:pt>
                <c:pt idx="33">
                  <c:v>876999</c:v>
                </c:pt>
                <c:pt idx="34">
                  <c:v>910700</c:v>
                </c:pt>
                <c:pt idx="35">
                  <c:v>1268295</c:v>
                </c:pt>
                <c:pt idx="36">
                  <c:v>1073716</c:v>
                </c:pt>
                <c:pt idx="37">
                  <c:v>1069215</c:v>
                </c:pt>
                <c:pt idx="38">
                  <c:v>1131232</c:v>
                </c:pt>
                <c:pt idx="39">
                  <c:v>1580574</c:v>
                </c:pt>
                <c:pt idx="40">
                  <c:v>1314879</c:v>
                </c:pt>
                <c:pt idx="41">
                  <c:v>1289854</c:v>
                </c:pt>
                <c:pt idx="42">
                  <c:v>1342181</c:v>
                </c:pt>
                <c:pt idx="43">
                  <c:v>1937592</c:v>
                </c:pt>
                <c:pt idx="44">
                  <c:v>1543667</c:v>
                </c:pt>
                <c:pt idx="45">
                  <c:v>1488221</c:v>
                </c:pt>
                <c:pt idx="46">
                  <c:v>1560011</c:v>
                </c:pt>
                <c:pt idx="47">
                  <c:v>2124716</c:v>
                </c:pt>
                <c:pt idx="48">
                  <c:v>1743029</c:v>
                </c:pt>
                <c:pt idx="49">
                  <c:v>1666607</c:v>
                </c:pt>
                <c:pt idx="50">
                  <c:v>1682514</c:v>
                </c:pt>
                <c:pt idx="51">
                  <c:v>2305918</c:v>
                </c:pt>
                <c:pt idx="52">
                  <c:v>1173210</c:v>
                </c:pt>
                <c:pt idx="53">
                  <c:v>1228009</c:v>
                </c:pt>
                <c:pt idx="54">
                  <c:v>1552033</c:v>
                </c:pt>
                <c:pt idx="55">
                  <c:v>2198701</c:v>
                </c:pt>
                <c:pt idx="56">
                  <c:v>1938519</c:v>
                </c:pt>
                <c:pt idx="57">
                  <c:v>1967207</c:v>
                </c:pt>
                <c:pt idx="58">
                  <c:v>1995775</c:v>
                </c:pt>
                <c:pt idx="59">
                  <c:v>2729388</c:v>
                </c:pt>
                <c:pt idx="60">
                  <c:v>2345901</c:v>
                </c:pt>
                <c:pt idx="61">
                  <c:v>2297113</c:v>
                </c:pt>
                <c:pt idx="62">
                  <c:v>2338793</c:v>
                </c:pt>
                <c:pt idx="63">
                  <c:v>3226773</c:v>
                </c:pt>
                <c:pt idx="64">
                  <c:v>2634263</c:v>
                </c:pt>
                <c:pt idx="65">
                  <c:v>2529809</c:v>
                </c:pt>
                <c:pt idx="66">
                  <c:v>2488933</c:v>
                </c:pt>
                <c:pt idx="67">
                  <c:v>3554298</c:v>
                </c:pt>
                <c:pt idx="68">
                  <c:v>2725848</c:v>
                </c:pt>
                <c:pt idx="69">
                  <c:v>2552087</c:v>
                </c:pt>
                <c:pt idx="70">
                  <c:v>2530100</c:v>
                </c:pt>
                <c:pt idx="71">
                  <c:v>3487619</c:v>
                </c:pt>
                <c:pt idx="72">
                  <c:v>2848367</c:v>
                </c:pt>
                <c:pt idx="73">
                  <c:v>2788469</c:v>
                </c:pt>
                <c:pt idx="74">
                  <c:v>2857623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21-4E1F-9BA9-32A847F2E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820144"/>
        <c:axId val="255810064"/>
      </c:scatterChart>
      <c:valAx>
        <c:axId val="25582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810064"/>
        <c:crosses val="autoZero"/>
        <c:crossBetween val="midCat"/>
      </c:valAx>
      <c:valAx>
        <c:axId val="25581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82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NET PPE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'ULTA %Sales &amp; Trend'!$I$4</c:f>
              <c:strCache>
                <c:ptCount val="1"/>
                <c:pt idx="0">
                  <c:v>net PPE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3534802052182504E-2"/>
                  <c:y val="0.4930056511926876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1" baseline="0"/>
                      <a:t>y = 0.3364x + 336230</a:t>
                    </a:r>
                    <a:br>
                      <a:rPr lang="en-US" sz="1400" b="1" baseline="0"/>
                    </a:br>
                    <a:r>
                      <a:rPr lang="en-US" sz="1400" b="1" baseline="0"/>
                      <a:t>R² = 0.7099</a:t>
                    </a:r>
                    <a:endParaRPr lang="en-US" sz="14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'ULTA %Sales &amp; Trend'!$D$13:$D$87</c:f>
              <c:numCache>
                <c:formatCode>#,##0</c:formatCode>
                <c:ptCount val="75"/>
                <c:pt idx="0">
                  <c:v>194113</c:v>
                </c:pt>
                <c:pt idx="1">
                  <c:v>200449</c:v>
                </c:pt>
                <c:pt idx="2">
                  <c:v>208235</c:v>
                </c:pt>
                <c:pt idx="3">
                  <c:v>309344</c:v>
                </c:pt>
                <c:pt idx="4">
                  <c:v>239298</c:v>
                </c:pt>
                <c:pt idx="5">
                  <c:v>249111</c:v>
                </c:pt>
                <c:pt idx="6">
                  <c:v>254843</c:v>
                </c:pt>
                <c:pt idx="7">
                  <c:v>341394</c:v>
                </c:pt>
                <c:pt idx="8">
                  <c:v>268825</c:v>
                </c:pt>
                <c:pt idx="9">
                  <c:v>273539</c:v>
                </c:pt>
                <c:pt idx="10">
                  <c:v>284043</c:v>
                </c:pt>
                <c:pt idx="11">
                  <c:v>396364</c:v>
                </c:pt>
                <c:pt idx="12">
                  <c:v>320196</c:v>
                </c:pt>
                <c:pt idx="13">
                  <c:v>321804</c:v>
                </c:pt>
                <c:pt idx="14">
                  <c:v>339179</c:v>
                </c:pt>
                <c:pt idx="15">
                  <c:v>473659</c:v>
                </c:pt>
                <c:pt idx="16">
                  <c:v>386006</c:v>
                </c:pt>
                <c:pt idx="17">
                  <c:v>394567</c:v>
                </c:pt>
                <c:pt idx="18">
                  <c:v>413067</c:v>
                </c:pt>
                <c:pt idx="19">
                  <c:v>582511</c:v>
                </c:pt>
                <c:pt idx="20">
                  <c:v>474098</c:v>
                </c:pt>
                <c:pt idx="21">
                  <c:v>481683</c:v>
                </c:pt>
                <c:pt idx="22">
                  <c:v>505640</c:v>
                </c:pt>
                <c:pt idx="23">
                  <c:v>758835</c:v>
                </c:pt>
                <c:pt idx="24">
                  <c:v>582712</c:v>
                </c:pt>
                <c:pt idx="25">
                  <c:v>600998</c:v>
                </c:pt>
                <c:pt idx="26">
                  <c:v>618781</c:v>
                </c:pt>
                <c:pt idx="27">
                  <c:v>868082</c:v>
                </c:pt>
                <c:pt idx="28">
                  <c:v>713770</c:v>
                </c:pt>
                <c:pt idx="29">
                  <c:v>734236</c:v>
                </c:pt>
                <c:pt idx="30">
                  <c:v>745722</c:v>
                </c:pt>
                <c:pt idx="31">
                  <c:v>1047641</c:v>
                </c:pt>
                <c:pt idx="32">
                  <c:v>868122</c:v>
                </c:pt>
                <c:pt idx="33">
                  <c:v>876999</c:v>
                </c:pt>
                <c:pt idx="34">
                  <c:v>910700</c:v>
                </c:pt>
                <c:pt idx="35">
                  <c:v>1268295</c:v>
                </c:pt>
                <c:pt idx="36">
                  <c:v>1073716</c:v>
                </c:pt>
                <c:pt idx="37">
                  <c:v>1069215</c:v>
                </c:pt>
                <c:pt idx="38">
                  <c:v>1131232</c:v>
                </c:pt>
                <c:pt idx="39">
                  <c:v>1580574</c:v>
                </c:pt>
                <c:pt idx="40">
                  <c:v>1314879</c:v>
                </c:pt>
                <c:pt idx="41">
                  <c:v>1289854</c:v>
                </c:pt>
                <c:pt idx="42">
                  <c:v>1342181</c:v>
                </c:pt>
                <c:pt idx="43">
                  <c:v>1937592</c:v>
                </c:pt>
                <c:pt idx="44">
                  <c:v>1543667</c:v>
                </c:pt>
                <c:pt idx="45">
                  <c:v>1488221</c:v>
                </c:pt>
                <c:pt idx="46">
                  <c:v>1560011</c:v>
                </c:pt>
                <c:pt idx="47">
                  <c:v>2124716</c:v>
                </c:pt>
                <c:pt idx="48">
                  <c:v>1743029</c:v>
                </c:pt>
                <c:pt idx="49">
                  <c:v>1666607</c:v>
                </c:pt>
                <c:pt idx="50">
                  <c:v>1682514</c:v>
                </c:pt>
                <c:pt idx="51">
                  <c:v>2305918</c:v>
                </c:pt>
                <c:pt idx="52">
                  <c:v>1173210</c:v>
                </c:pt>
                <c:pt idx="53">
                  <c:v>1228009</c:v>
                </c:pt>
                <c:pt idx="54">
                  <c:v>1552033</c:v>
                </c:pt>
                <c:pt idx="55">
                  <c:v>2198701</c:v>
                </c:pt>
                <c:pt idx="56">
                  <c:v>1938519</c:v>
                </c:pt>
                <c:pt idx="57">
                  <c:v>1967207</c:v>
                </c:pt>
                <c:pt idx="58">
                  <c:v>1995775</c:v>
                </c:pt>
                <c:pt idx="59">
                  <c:v>2729388</c:v>
                </c:pt>
                <c:pt idx="60">
                  <c:v>2345901</c:v>
                </c:pt>
                <c:pt idx="61">
                  <c:v>2297113</c:v>
                </c:pt>
                <c:pt idx="62">
                  <c:v>2338793</c:v>
                </c:pt>
                <c:pt idx="63">
                  <c:v>3226773</c:v>
                </c:pt>
                <c:pt idx="64">
                  <c:v>2634263</c:v>
                </c:pt>
                <c:pt idx="65">
                  <c:v>2529809</c:v>
                </c:pt>
                <c:pt idx="66">
                  <c:v>2488933</c:v>
                </c:pt>
                <c:pt idx="67">
                  <c:v>3554298</c:v>
                </c:pt>
                <c:pt idx="68">
                  <c:v>2725848</c:v>
                </c:pt>
                <c:pt idx="69">
                  <c:v>2552087</c:v>
                </c:pt>
                <c:pt idx="70">
                  <c:v>2530100</c:v>
                </c:pt>
                <c:pt idx="71">
                  <c:v>3487619</c:v>
                </c:pt>
                <c:pt idx="72">
                  <c:v>2848367</c:v>
                </c:pt>
                <c:pt idx="73">
                  <c:v>2788469</c:v>
                </c:pt>
                <c:pt idx="74">
                  <c:v>2857623</c:v>
                </c:pt>
              </c:numCache>
            </c:numRef>
          </c:xVal>
          <c:yVal>
            <c:numRef>
              <c:f>'ULTA %Sales &amp; Trend'!$I$13:$I$87</c:f>
              <c:numCache>
                <c:formatCode>_(* #,##0_);_(* \(#,##0\);_(* "-"??_);_(@_)</c:formatCode>
                <c:ptCount val="75"/>
                <c:pt idx="0">
                  <c:v>174916</c:v>
                </c:pt>
                <c:pt idx="1">
                  <c:v>196919</c:v>
                </c:pt>
                <c:pt idx="2">
                  <c:v>226533</c:v>
                </c:pt>
                <c:pt idx="3">
                  <c:v>236389</c:v>
                </c:pt>
                <c:pt idx="4">
                  <c:v>255123</c:v>
                </c:pt>
                <c:pt idx="5">
                  <c:v>278378</c:v>
                </c:pt>
                <c:pt idx="6">
                  <c:v>292120</c:v>
                </c:pt>
                <c:pt idx="7">
                  <c:v>292224</c:v>
                </c:pt>
                <c:pt idx="8">
                  <c:v>286140</c:v>
                </c:pt>
                <c:pt idx="9">
                  <c:v>288537</c:v>
                </c:pt>
                <c:pt idx="10">
                  <c:v>293746</c:v>
                </c:pt>
                <c:pt idx="11">
                  <c:v>290861</c:v>
                </c:pt>
                <c:pt idx="12">
                  <c:v>285766</c:v>
                </c:pt>
                <c:pt idx="13">
                  <c:v>301333</c:v>
                </c:pt>
                <c:pt idx="14">
                  <c:v>331390</c:v>
                </c:pt>
                <c:pt idx="15">
                  <c:v>326099</c:v>
                </c:pt>
                <c:pt idx="16">
                  <c:v>332147</c:v>
                </c:pt>
                <c:pt idx="17">
                  <c:v>351576</c:v>
                </c:pt>
                <c:pt idx="18">
                  <c:v>373794</c:v>
                </c:pt>
                <c:pt idx="19">
                  <c:v>376985</c:v>
                </c:pt>
                <c:pt idx="20">
                  <c:v>384904</c:v>
                </c:pt>
                <c:pt idx="21">
                  <c:v>421063</c:v>
                </c:pt>
                <c:pt idx="22">
                  <c:v>467165</c:v>
                </c:pt>
                <c:pt idx="23">
                  <c:v>483059</c:v>
                </c:pt>
                <c:pt idx="24">
                  <c:v>499395</c:v>
                </c:pt>
                <c:pt idx="25">
                  <c:v>541557</c:v>
                </c:pt>
                <c:pt idx="26">
                  <c:v>590132</c:v>
                </c:pt>
                <c:pt idx="27">
                  <c:v>595736</c:v>
                </c:pt>
                <c:pt idx="28">
                  <c:v>603933</c:v>
                </c:pt>
                <c:pt idx="29">
                  <c:v>646890</c:v>
                </c:pt>
                <c:pt idx="30">
                  <c:v>686898</c:v>
                </c:pt>
                <c:pt idx="31">
                  <c:v>717159</c:v>
                </c:pt>
                <c:pt idx="32">
                  <c:v>744665</c:v>
                </c:pt>
                <c:pt idx="33">
                  <c:v>791904</c:v>
                </c:pt>
                <c:pt idx="34">
                  <c:v>844238</c:v>
                </c:pt>
                <c:pt idx="35">
                  <c:v>847600</c:v>
                </c:pt>
                <c:pt idx="36">
                  <c:v>870835</c:v>
                </c:pt>
                <c:pt idx="37">
                  <c:v>919597</c:v>
                </c:pt>
                <c:pt idx="38">
                  <c:v>1001938</c:v>
                </c:pt>
                <c:pt idx="39">
                  <c:v>1004358</c:v>
                </c:pt>
                <c:pt idx="40">
                  <c:v>1020853</c:v>
                </c:pt>
                <c:pt idx="41">
                  <c:v>1095135</c:v>
                </c:pt>
                <c:pt idx="42">
                  <c:v>1172682</c:v>
                </c:pt>
                <c:pt idx="43">
                  <c:v>1189453</c:v>
                </c:pt>
                <c:pt idx="44">
                  <c:v>1190969</c:v>
                </c:pt>
                <c:pt idx="45">
                  <c:v>1212978</c:v>
                </c:pt>
                <c:pt idx="46">
                  <c:v>1257775</c:v>
                </c:pt>
                <c:pt idx="47">
                  <c:v>1226029</c:v>
                </c:pt>
                <c:pt idx="48">
                  <c:v>2685051</c:v>
                </c:pt>
                <c:pt idx="49">
                  <c:v>2719504</c:v>
                </c:pt>
                <c:pt idx="50">
                  <c:v>2762936</c:v>
                </c:pt>
                <c:pt idx="51">
                  <c:v>2743089</c:v>
                </c:pt>
                <c:pt idx="52">
                  <c:v>2731831</c:v>
                </c:pt>
                <c:pt idx="53">
                  <c:v>2626064</c:v>
                </c:pt>
                <c:pt idx="54">
                  <c:v>2552292</c:v>
                </c:pt>
                <c:pt idx="55">
                  <c:v>2500409</c:v>
                </c:pt>
                <c:pt idx="56">
                  <c:v>2448056</c:v>
                </c:pt>
                <c:pt idx="57">
                  <c:v>2379673</c:v>
                </c:pt>
                <c:pt idx="58">
                  <c:v>2373198</c:v>
                </c:pt>
                <c:pt idx="59">
                  <c:v>2396732</c:v>
                </c:pt>
                <c:pt idx="60">
                  <c:v>2397583</c:v>
                </c:pt>
                <c:pt idx="61">
                  <c:v>2421263</c:v>
                </c:pt>
                <c:pt idx="62">
                  <c:v>2523979</c:v>
                </c:pt>
                <c:pt idx="63">
                  <c:v>2570536</c:v>
                </c:pt>
                <c:pt idx="64">
                  <c:v>2579538</c:v>
                </c:pt>
                <c:pt idx="65">
                  <c:v>2622290</c:v>
                </c:pt>
                <c:pt idx="66">
                  <c:v>2696190</c:v>
                </c:pt>
                <c:pt idx="67">
                  <c:v>2756865</c:v>
                </c:pt>
                <c:pt idx="68">
                  <c:v>2757425</c:v>
                </c:pt>
                <c:pt idx="69">
                  <c:v>2825585</c:v>
                </c:pt>
                <c:pt idx="70">
                  <c:v>2883474</c:v>
                </c:pt>
                <c:pt idx="71">
                  <c:v>2849165</c:v>
                </c:pt>
                <c:pt idx="72" formatCode="#,##0">
                  <c:v>2910121</c:v>
                </c:pt>
                <c:pt idx="73">
                  <c:v>3014654</c:v>
                </c:pt>
                <c:pt idx="74">
                  <c:v>3077308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62-4250-B5ED-E654C3598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976527"/>
        <c:axId val="1268979407"/>
      </c:scatterChart>
      <c:valAx>
        <c:axId val="126897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979407"/>
        <c:crosses val="autoZero"/>
        <c:crossBetween val="midCat"/>
      </c:valAx>
      <c:valAx>
        <c:axId val="126897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97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Q SALES VS. 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'ULTA %Sales &amp; Trend'!$D$4</c:f>
              <c:strCache>
                <c:ptCount val="1"/>
                <c:pt idx="0">
                  <c:v>Q Sales</c:v>
                </c:pt>
              </c:strCache>
            </c:strRef>
          </c:tx>
          <c:spPr>
            <a:ln w="9525" cap="rnd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'ULTA %Sales &amp; Trend'!$B$13:$B$87</c:f>
              <c:numCache>
                <c:formatCode>m/d/yyyy</c:formatCode>
                <c:ptCount val="75"/>
                <c:pt idx="0">
                  <c:v>39202</c:v>
                </c:pt>
                <c:pt idx="1">
                  <c:v>39293</c:v>
                </c:pt>
                <c:pt idx="2">
                  <c:v>39386</c:v>
                </c:pt>
                <c:pt idx="3">
                  <c:v>39478</c:v>
                </c:pt>
                <c:pt idx="4">
                  <c:v>39568</c:v>
                </c:pt>
                <c:pt idx="5">
                  <c:v>39660</c:v>
                </c:pt>
                <c:pt idx="6">
                  <c:v>39752</c:v>
                </c:pt>
                <c:pt idx="7">
                  <c:v>39844</c:v>
                </c:pt>
                <c:pt idx="8">
                  <c:v>39933</c:v>
                </c:pt>
                <c:pt idx="9">
                  <c:v>40025</c:v>
                </c:pt>
                <c:pt idx="10">
                  <c:v>40117</c:v>
                </c:pt>
                <c:pt idx="11">
                  <c:v>40209</c:v>
                </c:pt>
                <c:pt idx="12">
                  <c:v>40298</c:v>
                </c:pt>
                <c:pt idx="13">
                  <c:v>40390</c:v>
                </c:pt>
                <c:pt idx="14">
                  <c:v>40482</c:v>
                </c:pt>
                <c:pt idx="15">
                  <c:v>40574</c:v>
                </c:pt>
                <c:pt idx="16">
                  <c:v>40663</c:v>
                </c:pt>
                <c:pt idx="17">
                  <c:v>40755</c:v>
                </c:pt>
                <c:pt idx="18">
                  <c:v>40847</c:v>
                </c:pt>
                <c:pt idx="19">
                  <c:v>40939</c:v>
                </c:pt>
                <c:pt idx="20">
                  <c:v>41029</c:v>
                </c:pt>
                <c:pt idx="21">
                  <c:v>41121</c:v>
                </c:pt>
                <c:pt idx="22">
                  <c:v>41213</c:v>
                </c:pt>
                <c:pt idx="23">
                  <c:v>41365</c:v>
                </c:pt>
                <c:pt idx="24">
                  <c:v>41435</c:v>
                </c:pt>
                <c:pt idx="25">
                  <c:v>41528</c:v>
                </c:pt>
                <c:pt idx="26">
                  <c:v>41612</c:v>
                </c:pt>
                <c:pt idx="27">
                  <c:v>41728</c:v>
                </c:pt>
                <c:pt idx="28">
                  <c:v>41794</c:v>
                </c:pt>
                <c:pt idx="29">
                  <c:v>41823</c:v>
                </c:pt>
                <c:pt idx="30">
                  <c:v>41976</c:v>
                </c:pt>
                <c:pt idx="31">
                  <c:v>42091</c:v>
                </c:pt>
                <c:pt idx="32">
                  <c:v>42157</c:v>
                </c:pt>
                <c:pt idx="33">
                  <c:v>42241</c:v>
                </c:pt>
                <c:pt idx="34">
                  <c:v>42339</c:v>
                </c:pt>
                <c:pt idx="35">
                  <c:v>42463</c:v>
                </c:pt>
                <c:pt idx="36">
                  <c:v>42522</c:v>
                </c:pt>
                <c:pt idx="37">
                  <c:v>42613</c:v>
                </c:pt>
                <c:pt idx="38">
                  <c:v>42704</c:v>
                </c:pt>
                <c:pt idx="39">
                  <c:v>42827</c:v>
                </c:pt>
                <c:pt idx="40">
                  <c:v>42887</c:v>
                </c:pt>
                <c:pt idx="41">
                  <c:v>42977</c:v>
                </c:pt>
                <c:pt idx="42">
                  <c:v>43075</c:v>
                </c:pt>
                <c:pt idx="43">
                  <c:v>43186</c:v>
                </c:pt>
                <c:pt idx="44">
                  <c:v>43250</c:v>
                </c:pt>
                <c:pt idx="45">
                  <c:v>43341</c:v>
                </c:pt>
                <c:pt idx="46">
                  <c:v>43439</c:v>
                </c:pt>
                <c:pt idx="47">
                  <c:v>43550</c:v>
                </c:pt>
                <c:pt idx="48">
                  <c:v>43613</c:v>
                </c:pt>
                <c:pt idx="49">
                  <c:v>43704</c:v>
                </c:pt>
                <c:pt idx="50">
                  <c:v>43802</c:v>
                </c:pt>
                <c:pt idx="51">
                  <c:v>43915</c:v>
                </c:pt>
                <c:pt idx="52">
                  <c:v>43978</c:v>
                </c:pt>
                <c:pt idx="53">
                  <c:v>44068</c:v>
                </c:pt>
                <c:pt idx="54">
                  <c:v>44167</c:v>
                </c:pt>
                <c:pt idx="55">
                  <c:v>44279</c:v>
                </c:pt>
                <c:pt idx="56">
                  <c:v>44342</c:v>
                </c:pt>
                <c:pt idx="57">
                  <c:v>44433</c:v>
                </c:pt>
                <c:pt idx="58">
                  <c:v>44531</c:v>
                </c:pt>
                <c:pt idx="59">
                  <c:v>44646</c:v>
                </c:pt>
                <c:pt idx="60">
                  <c:v>44706</c:v>
                </c:pt>
                <c:pt idx="61">
                  <c:v>44797</c:v>
                </c:pt>
                <c:pt idx="62">
                  <c:v>44895</c:v>
                </c:pt>
                <c:pt idx="63">
                  <c:v>45012</c:v>
                </c:pt>
                <c:pt idx="64">
                  <c:v>45076</c:v>
                </c:pt>
                <c:pt idx="65">
                  <c:v>45167</c:v>
                </c:pt>
                <c:pt idx="66">
                  <c:v>45265</c:v>
                </c:pt>
                <c:pt idx="67">
                  <c:v>45378</c:v>
                </c:pt>
                <c:pt idx="68">
                  <c:v>45441</c:v>
                </c:pt>
                <c:pt idx="69">
                  <c:v>45532</c:v>
                </c:pt>
                <c:pt idx="70">
                  <c:v>45631</c:v>
                </c:pt>
                <c:pt idx="71">
                  <c:v>45743</c:v>
                </c:pt>
                <c:pt idx="72">
                  <c:v>45806</c:v>
                </c:pt>
                <c:pt idx="73">
                  <c:v>45897</c:v>
                </c:pt>
                <c:pt idx="74">
                  <c:v>45995</c:v>
                </c:pt>
              </c:numCache>
            </c:numRef>
          </c:xVal>
          <c:yVal>
            <c:numRef>
              <c:f>'ULTA %Sales &amp; Trend'!$D$13:$D$87</c:f>
              <c:numCache>
                <c:formatCode>#,##0</c:formatCode>
                <c:ptCount val="75"/>
                <c:pt idx="0">
                  <c:v>194113</c:v>
                </c:pt>
                <c:pt idx="1">
                  <c:v>200449</c:v>
                </c:pt>
                <c:pt idx="2">
                  <c:v>208235</c:v>
                </c:pt>
                <c:pt idx="3">
                  <c:v>309344</c:v>
                </c:pt>
                <c:pt idx="4">
                  <c:v>239298</c:v>
                </c:pt>
                <c:pt idx="5">
                  <c:v>249111</c:v>
                </c:pt>
                <c:pt idx="6">
                  <c:v>254843</c:v>
                </c:pt>
                <c:pt idx="7">
                  <c:v>341394</c:v>
                </c:pt>
                <c:pt idx="8">
                  <c:v>268825</c:v>
                </c:pt>
                <c:pt idx="9">
                  <c:v>273539</c:v>
                </c:pt>
                <c:pt idx="10">
                  <c:v>284043</c:v>
                </c:pt>
                <c:pt idx="11">
                  <c:v>396364</c:v>
                </c:pt>
                <c:pt idx="12">
                  <c:v>320196</c:v>
                </c:pt>
                <c:pt idx="13">
                  <c:v>321804</c:v>
                </c:pt>
                <c:pt idx="14">
                  <c:v>339179</c:v>
                </c:pt>
                <c:pt idx="15">
                  <c:v>473659</c:v>
                </c:pt>
                <c:pt idx="16">
                  <c:v>386006</c:v>
                </c:pt>
                <c:pt idx="17">
                  <c:v>394567</c:v>
                </c:pt>
                <c:pt idx="18">
                  <c:v>413067</c:v>
                </c:pt>
                <c:pt idx="19">
                  <c:v>582511</c:v>
                </c:pt>
                <c:pt idx="20">
                  <c:v>474098</c:v>
                </c:pt>
                <c:pt idx="21">
                  <c:v>481683</c:v>
                </c:pt>
                <c:pt idx="22">
                  <c:v>505640</c:v>
                </c:pt>
                <c:pt idx="23">
                  <c:v>758835</c:v>
                </c:pt>
                <c:pt idx="24">
                  <c:v>582712</c:v>
                </c:pt>
                <c:pt idx="25">
                  <c:v>600998</c:v>
                </c:pt>
                <c:pt idx="26">
                  <c:v>618781</c:v>
                </c:pt>
                <c:pt idx="27">
                  <c:v>868082</c:v>
                </c:pt>
                <c:pt idx="28">
                  <c:v>713770</c:v>
                </c:pt>
                <c:pt idx="29">
                  <c:v>734236</c:v>
                </c:pt>
                <c:pt idx="30">
                  <c:v>745722</c:v>
                </c:pt>
                <c:pt idx="31">
                  <c:v>1047641</c:v>
                </c:pt>
                <c:pt idx="32">
                  <c:v>868122</c:v>
                </c:pt>
                <c:pt idx="33">
                  <c:v>876999</c:v>
                </c:pt>
                <c:pt idx="34">
                  <c:v>910700</c:v>
                </c:pt>
                <c:pt idx="35">
                  <c:v>1268295</c:v>
                </c:pt>
                <c:pt idx="36">
                  <c:v>1073716</c:v>
                </c:pt>
                <c:pt idx="37">
                  <c:v>1069215</c:v>
                </c:pt>
                <c:pt idx="38">
                  <c:v>1131232</c:v>
                </c:pt>
                <c:pt idx="39">
                  <c:v>1580574</c:v>
                </c:pt>
                <c:pt idx="40">
                  <c:v>1314879</c:v>
                </c:pt>
                <c:pt idx="41">
                  <c:v>1289854</c:v>
                </c:pt>
                <c:pt idx="42">
                  <c:v>1342181</c:v>
                </c:pt>
                <c:pt idx="43">
                  <c:v>1937592</c:v>
                </c:pt>
                <c:pt idx="44">
                  <c:v>1543667</c:v>
                </c:pt>
                <c:pt idx="45">
                  <c:v>1488221</c:v>
                </c:pt>
                <c:pt idx="46">
                  <c:v>1560011</c:v>
                </c:pt>
                <c:pt idx="47">
                  <c:v>2124716</c:v>
                </c:pt>
                <c:pt idx="48">
                  <c:v>1743029</c:v>
                </c:pt>
                <c:pt idx="49">
                  <c:v>1666607</c:v>
                </c:pt>
                <c:pt idx="50">
                  <c:v>1682514</c:v>
                </c:pt>
                <c:pt idx="51">
                  <c:v>2305918</c:v>
                </c:pt>
                <c:pt idx="52">
                  <c:v>1173210</c:v>
                </c:pt>
                <c:pt idx="53">
                  <c:v>1228009</c:v>
                </c:pt>
                <c:pt idx="54">
                  <c:v>1552033</c:v>
                </c:pt>
                <c:pt idx="55">
                  <c:v>2198701</c:v>
                </c:pt>
                <c:pt idx="56">
                  <c:v>1938519</c:v>
                </c:pt>
                <c:pt idx="57">
                  <c:v>1967207</c:v>
                </c:pt>
                <c:pt idx="58">
                  <c:v>1995775</c:v>
                </c:pt>
                <c:pt idx="59">
                  <c:v>2729388</c:v>
                </c:pt>
                <c:pt idx="60">
                  <c:v>2345901</c:v>
                </c:pt>
                <c:pt idx="61">
                  <c:v>2297113</c:v>
                </c:pt>
                <c:pt idx="62">
                  <c:v>2338793</c:v>
                </c:pt>
                <c:pt idx="63">
                  <c:v>3226773</c:v>
                </c:pt>
                <c:pt idx="64">
                  <c:v>2634263</c:v>
                </c:pt>
                <c:pt idx="65">
                  <c:v>2529809</c:v>
                </c:pt>
                <c:pt idx="66">
                  <c:v>2488933</c:v>
                </c:pt>
                <c:pt idx="67">
                  <c:v>3554298</c:v>
                </c:pt>
                <c:pt idx="68">
                  <c:v>2725848</c:v>
                </c:pt>
                <c:pt idx="69">
                  <c:v>2552087</c:v>
                </c:pt>
                <c:pt idx="70">
                  <c:v>2530100</c:v>
                </c:pt>
                <c:pt idx="71">
                  <c:v>3487619</c:v>
                </c:pt>
                <c:pt idx="72">
                  <c:v>2848367</c:v>
                </c:pt>
                <c:pt idx="73">
                  <c:v>2788469</c:v>
                </c:pt>
                <c:pt idx="74">
                  <c:v>2857623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BB-45D9-8114-F2793419461C}"/>
            </c:ext>
          </c:extLst>
        </c:ser>
        <c:ser>
          <c:idx val="1"/>
          <c:order val="1"/>
          <c:tx>
            <c:strRef>
              <c:f>'ULTA %Sales &amp; Trend'!$H$4</c:f>
              <c:strCache>
                <c:ptCount val="1"/>
                <c:pt idx="0">
                  <c:v>Cost of Sales</c:v>
                </c:pt>
              </c:strCache>
            </c:strRef>
          </c:tx>
          <c:spPr>
            <a:ln w="9525" cap="rnd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'ULTA %Sales &amp; Trend'!$B$13:$B$87</c:f>
              <c:numCache>
                <c:formatCode>m/d/yyyy</c:formatCode>
                <c:ptCount val="75"/>
                <c:pt idx="0">
                  <c:v>39202</c:v>
                </c:pt>
                <c:pt idx="1">
                  <c:v>39293</c:v>
                </c:pt>
                <c:pt idx="2">
                  <c:v>39386</c:v>
                </c:pt>
                <c:pt idx="3">
                  <c:v>39478</c:v>
                </c:pt>
                <c:pt idx="4">
                  <c:v>39568</c:v>
                </c:pt>
                <c:pt idx="5">
                  <c:v>39660</c:v>
                </c:pt>
                <c:pt idx="6">
                  <c:v>39752</c:v>
                </c:pt>
                <c:pt idx="7">
                  <c:v>39844</c:v>
                </c:pt>
                <c:pt idx="8">
                  <c:v>39933</c:v>
                </c:pt>
                <c:pt idx="9">
                  <c:v>40025</c:v>
                </c:pt>
                <c:pt idx="10">
                  <c:v>40117</c:v>
                </c:pt>
                <c:pt idx="11">
                  <c:v>40209</c:v>
                </c:pt>
                <c:pt idx="12">
                  <c:v>40298</c:v>
                </c:pt>
                <c:pt idx="13">
                  <c:v>40390</c:v>
                </c:pt>
                <c:pt idx="14">
                  <c:v>40482</c:v>
                </c:pt>
                <c:pt idx="15">
                  <c:v>40574</c:v>
                </c:pt>
                <c:pt idx="16">
                  <c:v>40663</c:v>
                </c:pt>
                <c:pt idx="17">
                  <c:v>40755</c:v>
                </c:pt>
                <c:pt idx="18">
                  <c:v>40847</c:v>
                </c:pt>
                <c:pt idx="19">
                  <c:v>40939</c:v>
                </c:pt>
                <c:pt idx="20">
                  <c:v>41029</c:v>
                </c:pt>
                <c:pt idx="21">
                  <c:v>41121</c:v>
                </c:pt>
                <c:pt idx="22">
                  <c:v>41213</c:v>
                </c:pt>
                <c:pt idx="23">
                  <c:v>41365</c:v>
                </c:pt>
                <c:pt idx="24">
                  <c:v>41435</c:v>
                </c:pt>
                <c:pt idx="25">
                  <c:v>41528</c:v>
                </c:pt>
                <c:pt idx="26">
                  <c:v>41612</c:v>
                </c:pt>
                <c:pt idx="27">
                  <c:v>41728</c:v>
                </c:pt>
                <c:pt idx="28">
                  <c:v>41794</c:v>
                </c:pt>
                <c:pt idx="29">
                  <c:v>41823</c:v>
                </c:pt>
                <c:pt idx="30">
                  <c:v>41976</c:v>
                </c:pt>
                <c:pt idx="31">
                  <c:v>42091</c:v>
                </c:pt>
                <c:pt idx="32">
                  <c:v>42157</c:v>
                </c:pt>
                <c:pt idx="33">
                  <c:v>42241</c:v>
                </c:pt>
                <c:pt idx="34">
                  <c:v>42339</c:v>
                </c:pt>
                <c:pt idx="35">
                  <c:v>42463</c:v>
                </c:pt>
                <c:pt idx="36">
                  <c:v>42522</c:v>
                </c:pt>
                <c:pt idx="37">
                  <c:v>42613</c:v>
                </c:pt>
                <c:pt idx="38">
                  <c:v>42704</c:v>
                </c:pt>
                <c:pt idx="39">
                  <c:v>42827</c:v>
                </c:pt>
                <c:pt idx="40">
                  <c:v>42887</c:v>
                </c:pt>
                <c:pt idx="41">
                  <c:v>42977</c:v>
                </c:pt>
                <c:pt idx="42">
                  <c:v>43075</c:v>
                </c:pt>
                <c:pt idx="43">
                  <c:v>43186</c:v>
                </c:pt>
                <c:pt idx="44">
                  <c:v>43250</c:v>
                </c:pt>
                <c:pt idx="45">
                  <c:v>43341</c:v>
                </c:pt>
                <c:pt idx="46">
                  <c:v>43439</c:v>
                </c:pt>
                <c:pt idx="47">
                  <c:v>43550</c:v>
                </c:pt>
                <c:pt idx="48">
                  <c:v>43613</c:v>
                </c:pt>
                <c:pt idx="49">
                  <c:v>43704</c:v>
                </c:pt>
                <c:pt idx="50">
                  <c:v>43802</c:v>
                </c:pt>
                <c:pt idx="51">
                  <c:v>43915</c:v>
                </c:pt>
                <c:pt idx="52">
                  <c:v>43978</c:v>
                </c:pt>
                <c:pt idx="53">
                  <c:v>44068</c:v>
                </c:pt>
                <c:pt idx="54">
                  <c:v>44167</c:v>
                </c:pt>
                <c:pt idx="55">
                  <c:v>44279</c:v>
                </c:pt>
                <c:pt idx="56">
                  <c:v>44342</c:v>
                </c:pt>
                <c:pt idx="57">
                  <c:v>44433</c:v>
                </c:pt>
                <c:pt idx="58">
                  <c:v>44531</c:v>
                </c:pt>
                <c:pt idx="59">
                  <c:v>44646</c:v>
                </c:pt>
                <c:pt idx="60">
                  <c:v>44706</c:v>
                </c:pt>
                <c:pt idx="61">
                  <c:v>44797</c:v>
                </c:pt>
                <c:pt idx="62">
                  <c:v>44895</c:v>
                </c:pt>
                <c:pt idx="63">
                  <c:v>45012</c:v>
                </c:pt>
                <c:pt idx="64">
                  <c:v>45076</c:v>
                </c:pt>
                <c:pt idx="65">
                  <c:v>45167</c:v>
                </c:pt>
                <c:pt idx="66">
                  <c:v>45265</c:v>
                </c:pt>
                <c:pt idx="67">
                  <c:v>45378</c:v>
                </c:pt>
                <c:pt idx="68">
                  <c:v>45441</c:v>
                </c:pt>
                <c:pt idx="69">
                  <c:v>45532</c:v>
                </c:pt>
                <c:pt idx="70">
                  <c:v>45631</c:v>
                </c:pt>
                <c:pt idx="71">
                  <c:v>45743</c:v>
                </c:pt>
                <c:pt idx="72">
                  <c:v>45806</c:v>
                </c:pt>
                <c:pt idx="73">
                  <c:v>45897</c:v>
                </c:pt>
                <c:pt idx="74">
                  <c:v>45995</c:v>
                </c:pt>
              </c:numCache>
            </c:numRef>
          </c:xVal>
          <c:yVal>
            <c:numRef>
              <c:f>'ULTA %Sales &amp; Trend'!$H$13:$H$87</c:f>
              <c:numCache>
                <c:formatCode>_(* #,##0_);_(* \(#,##0\);_(* "-"??_);_(@_)</c:formatCode>
                <c:ptCount val="75"/>
                <c:pt idx="0">
                  <c:v>134600</c:v>
                </c:pt>
                <c:pt idx="1">
                  <c:v>141417</c:v>
                </c:pt>
                <c:pt idx="2">
                  <c:v>140156</c:v>
                </c:pt>
                <c:pt idx="3">
                  <c:v>212322</c:v>
                </c:pt>
                <c:pt idx="4">
                  <c:v>165377</c:v>
                </c:pt>
                <c:pt idx="5">
                  <c:v>175965</c:v>
                </c:pt>
                <c:pt idx="6">
                  <c:v>175368</c:v>
                </c:pt>
                <c:pt idx="7">
                  <c:v>240002</c:v>
                </c:pt>
                <c:pt idx="8">
                  <c:v>189283</c:v>
                </c:pt>
                <c:pt idx="9">
                  <c:v>194825</c:v>
                </c:pt>
                <c:pt idx="10">
                  <c:v>192372</c:v>
                </c:pt>
                <c:pt idx="11">
                  <c:v>269722</c:v>
                </c:pt>
                <c:pt idx="12">
                  <c:v>215661</c:v>
                </c:pt>
                <c:pt idx="13">
                  <c:v>217846</c:v>
                </c:pt>
                <c:pt idx="14">
                  <c:v>220273</c:v>
                </c:pt>
                <c:pt idx="15">
                  <c:v>316973</c:v>
                </c:pt>
                <c:pt idx="16">
                  <c:v>251101</c:v>
                </c:pt>
                <c:pt idx="17">
                  <c:v>260280</c:v>
                </c:pt>
                <c:pt idx="18">
                  <c:v>263884</c:v>
                </c:pt>
                <c:pt idx="19">
                  <c:v>384046</c:v>
                </c:pt>
                <c:pt idx="20">
                  <c:v>303186</c:v>
                </c:pt>
                <c:pt idx="21">
                  <c:v>314058</c:v>
                </c:pt>
                <c:pt idx="22">
                  <c:v>320147</c:v>
                </c:pt>
                <c:pt idx="23">
                  <c:v>499191</c:v>
                </c:pt>
                <c:pt idx="24">
                  <c:v>378763</c:v>
                </c:pt>
                <c:pt idx="25">
                  <c:v>388921</c:v>
                </c:pt>
                <c:pt idx="26">
                  <c:v>387120</c:v>
                </c:pt>
                <c:pt idx="27">
                  <c:v>574521</c:v>
                </c:pt>
                <c:pt idx="28">
                  <c:v>467817</c:v>
                </c:pt>
                <c:pt idx="29">
                  <c:v>474894</c:v>
                </c:pt>
                <c:pt idx="30">
                  <c:v>463967</c:v>
                </c:pt>
                <c:pt idx="31">
                  <c:v>697904</c:v>
                </c:pt>
                <c:pt idx="32">
                  <c:v>564938</c:v>
                </c:pt>
                <c:pt idx="33">
                  <c:v>570524</c:v>
                </c:pt>
                <c:pt idx="34">
                  <c:v>575062</c:v>
                </c:pt>
                <c:pt idx="35">
                  <c:v>829259</c:v>
                </c:pt>
                <c:pt idx="36">
                  <c:v>683286</c:v>
                </c:pt>
                <c:pt idx="37">
                  <c:v>684377</c:v>
                </c:pt>
                <c:pt idx="38">
                  <c:v>704179</c:v>
                </c:pt>
                <c:pt idx="39">
                  <c:v>1035666</c:v>
                </c:pt>
                <c:pt idx="40">
                  <c:v>838871</c:v>
                </c:pt>
                <c:pt idx="41">
                  <c:v>820528</c:v>
                </c:pt>
                <c:pt idx="42">
                  <c:v>849053</c:v>
                </c:pt>
                <c:pt idx="43">
                  <c:v>1279245</c:v>
                </c:pt>
                <c:pt idx="44">
                  <c:v>982954</c:v>
                </c:pt>
                <c:pt idx="45">
                  <c:v>952760</c:v>
                </c:pt>
                <c:pt idx="46">
                  <c:v>987733</c:v>
                </c:pt>
                <c:pt idx="47">
                  <c:v>1383857</c:v>
                </c:pt>
                <c:pt idx="48">
                  <c:v>1098182</c:v>
                </c:pt>
                <c:pt idx="49">
                  <c:v>1060708</c:v>
                </c:pt>
                <c:pt idx="50">
                  <c:v>1059081</c:v>
                </c:pt>
                <c:pt idx="51">
                  <c:v>1499033</c:v>
                </c:pt>
                <c:pt idx="52">
                  <c:v>869605</c:v>
                </c:pt>
                <c:pt idx="53">
                  <c:v>899002</c:v>
                </c:pt>
                <c:pt idx="54">
                  <c:v>1006514</c:v>
                </c:pt>
                <c:pt idx="55">
                  <c:v>1427673</c:v>
                </c:pt>
                <c:pt idx="56">
                  <c:v>1184731</c:v>
                </c:pt>
                <c:pt idx="57">
                  <c:v>1169244</c:v>
                </c:pt>
                <c:pt idx="58">
                  <c:v>1206301</c:v>
                </c:pt>
                <c:pt idx="59">
                  <c:v>1702059</c:v>
                </c:pt>
                <c:pt idx="60">
                  <c:v>1404875</c:v>
                </c:pt>
                <c:pt idx="61">
                  <c:v>1368949</c:v>
                </c:pt>
                <c:pt idx="62">
                  <c:v>1375976</c:v>
                </c:pt>
                <c:pt idx="63">
                  <c:v>2014270</c:v>
                </c:pt>
                <c:pt idx="64">
                  <c:v>1579406</c:v>
                </c:pt>
                <c:pt idx="65">
                  <c:v>1536197</c:v>
                </c:pt>
                <c:pt idx="66">
                  <c:v>1496866</c:v>
                </c:pt>
                <c:pt idx="67">
                  <c:v>2213734</c:v>
                </c:pt>
                <c:pt idx="68">
                  <c:v>1656068</c:v>
                </c:pt>
                <c:pt idx="69">
                  <c:v>1573910</c:v>
                </c:pt>
                <c:pt idx="70">
                  <c:v>1524456</c:v>
                </c:pt>
                <c:pt idx="71">
                  <c:v>2153967</c:v>
                </c:pt>
                <c:pt idx="72">
                  <c:v>1734148</c:v>
                </c:pt>
                <c:pt idx="73">
                  <c:v>1696773</c:v>
                </c:pt>
                <c:pt idx="74">
                  <c:v>1701958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BB-45D9-8114-F27934194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748111"/>
        <c:axId val="1433746191"/>
      </c:scatterChart>
      <c:valAx>
        <c:axId val="143374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746191"/>
        <c:crosses val="autoZero"/>
        <c:crossBetween val="midCat"/>
      </c:valAx>
      <c:valAx>
        <c:axId val="143374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748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Q SALES VS. NET PPE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'ULTA %Sales &amp; Trend'!$D$4</c:f>
              <c:strCache>
                <c:ptCount val="1"/>
                <c:pt idx="0">
                  <c:v>Q Sales</c:v>
                </c:pt>
              </c:strCache>
            </c:strRef>
          </c:tx>
          <c:spPr>
            <a:ln w="9525" cap="rnd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'ULTA %Sales &amp; Trend'!$B$13:$B$89</c:f>
              <c:numCache>
                <c:formatCode>m/d/yyyy</c:formatCode>
                <c:ptCount val="77"/>
                <c:pt idx="0">
                  <c:v>39202</c:v>
                </c:pt>
                <c:pt idx="1">
                  <c:v>39293</c:v>
                </c:pt>
                <c:pt idx="2">
                  <c:v>39386</c:v>
                </c:pt>
                <c:pt idx="3">
                  <c:v>39478</c:v>
                </c:pt>
                <c:pt idx="4">
                  <c:v>39568</c:v>
                </c:pt>
                <c:pt idx="5">
                  <c:v>39660</c:v>
                </c:pt>
                <c:pt idx="6">
                  <c:v>39752</c:v>
                </c:pt>
                <c:pt idx="7">
                  <c:v>39844</c:v>
                </c:pt>
                <c:pt idx="8">
                  <c:v>39933</c:v>
                </c:pt>
                <c:pt idx="9">
                  <c:v>40025</c:v>
                </c:pt>
                <c:pt idx="10">
                  <c:v>40117</c:v>
                </c:pt>
                <c:pt idx="11">
                  <c:v>40209</c:v>
                </c:pt>
                <c:pt idx="12">
                  <c:v>40298</c:v>
                </c:pt>
                <c:pt idx="13">
                  <c:v>40390</c:v>
                </c:pt>
                <c:pt idx="14">
                  <c:v>40482</c:v>
                </c:pt>
                <c:pt idx="15">
                  <c:v>40574</c:v>
                </c:pt>
                <c:pt idx="16">
                  <c:v>40663</c:v>
                </c:pt>
                <c:pt idx="17">
                  <c:v>40755</c:v>
                </c:pt>
                <c:pt idx="18">
                  <c:v>40847</c:v>
                </c:pt>
                <c:pt idx="19">
                  <c:v>40939</c:v>
                </c:pt>
                <c:pt idx="20">
                  <c:v>41029</c:v>
                </c:pt>
                <c:pt idx="21">
                  <c:v>41121</c:v>
                </c:pt>
                <c:pt idx="22">
                  <c:v>41213</c:v>
                </c:pt>
                <c:pt idx="23">
                  <c:v>41365</c:v>
                </c:pt>
                <c:pt idx="24">
                  <c:v>41435</c:v>
                </c:pt>
                <c:pt idx="25">
                  <c:v>41528</c:v>
                </c:pt>
                <c:pt idx="26">
                  <c:v>41612</c:v>
                </c:pt>
                <c:pt idx="27">
                  <c:v>41728</c:v>
                </c:pt>
                <c:pt idx="28">
                  <c:v>41794</c:v>
                </c:pt>
                <c:pt idx="29">
                  <c:v>41823</c:v>
                </c:pt>
                <c:pt idx="30">
                  <c:v>41976</c:v>
                </c:pt>
                <c:pt idx="31">
                  <c:v>42091</c:v>
                </c:pt>
                <c:pt idx="32">
                  <c:v>42157</c:v>
                </c:pt>
                <c:pt idx="33">
                  <c:v>42241</c:v>
                </c:pt>
                <c:pt idx="34">
                  <c:v>42339</c:v>
                </c:pt>
                <c:pt idx="35">
                  <c:v>42463</c:v>
                </c:pt>
                <c:pt idx="36">
                  <c:v>42522</c:v>
                </c:pt>
                <c:pt idx="37">
                  <c:v>42613</c:v>
                </c:pt>
                <c:pt idx="38">
                  <c:v>42704</c:v>
                </c:pt>
                <c:pt idx="39">
                  <c:v>42827</c:v>
                </c:pt>
                <c:pt idx="40">
                  <c:v>42887</c:v>
                </c:pt>
                <c:pt idx="41">
                  <c:v>42977</c:v>
                </c:pt>
                <c:pt idx="42">
                  <c:v>43075</c:v>
                </c:pt>
                <c:pt idx="43">
                  <c:v>43186</c:v>
                </c:pt>
                <c:pt idx="44">
                  <c:v>43250</c:v>
                </c:pt>
                <c:pt idx="45">
                  <c:v>43341</c:v>
                </c:pt>
                <c:pt idx="46">
                  <c:v>43439</c:v>
                </c:pt>
                <c:pt idx="47">
                  <c:v>43550</c:v>
                </c:pt>
                <c:pt idx="48">
                  <c:v>43613</c:v>
                </c:pt>
                <c:pt idx="49">
                  <c:v>43704</c:v>
                </c:pt>
                <c:pt idx="50">
                  <c:v>43802</c:v>
                </c:pt>
                <c:pt idx="51">
                  <c:v>43915</c:v>
                </c:pt>
                <c:pt idx="52">
                  <c:v>43978</c:v>
                </c:pt>
                <c:pt idx="53">
                  <c:v>44068</c:v>
                </c:pt>
                <c:pt idx="54">
                  <c:v>44167</c:v>
                </c:pt>
                <c:pt idx="55">
                  <c:v>44279</c:v>
                </c:pt>
                <c:pt idx="56">
                  <c:v>44342</c:v>
                </c:pt>
                <c:pt idx="57">
                  <c:v>44433</c:v>
                </c:pt>
                <c:pt idx="58">
                  <c:v>44531</c:v>
                </c:pt>
                <c:pt idx="59">
                  <c:v>44646</c:v>
                </c:pt>
                <c:pt idx="60">
                  <c:v>44706</c:v>
                </c:pt>
                <c:pt idx="61">
                  <c:v>44797</c:v>
                </c:pt>
                <c:pt idx="62">
                  <c:v>44895</c:v>
                </c:pt>
                <c:pt idx="63">
                  <c:v>45012</c:v>
                </c:pt>
                <c:pt idx="64">
                  <c:v>45076</c:v>
                </c:pt>
                <c:pt idx="65">
                  <c:v>45167</c:v>
                </c:pt>
                <c:pt idx="66">
                  <c:v>45265</c:v>
                </c:pt>
                <c:pt idx="67">
                  <c:v>45378</c:v>
                </c:pt>
                <c:pt idx="68">
                  <c:v>45441</c:v>
                </c:pt>
                <c:pt idx="69">
                  <c:v>45532</c:v>
                </c:pt>
                <c:pt idx="70">
                  <c:v>45631</c:v>
                </c:pt>
                <c:pt idx="71">
                  <c:v>45743</c:v>
                </c:pt>
                <c:pt idx="72">
                  <c:v>45806</c:v>
                </c:pt>
                <c:pt idx="73">
                  <c:v>45897</c:v>
                </c:pt>
                <c:pt idx="74">
                  <c:v>45995</c:v>
                </c:pt>
                <c:pt idx="75">
                  <c:v>46108</c:v>
                </c:pt>
                <c:pt idx="76">
                  <c:v>46234</c:v>
                </c:pt>
              </c:numCache>
            </c:numRef>
          </c:xVal>
          <c:yVal>
            <c:numRef>
              <c:f>'ULTA %Sales &amp; Trend'!$D$13:$D$89</c:f>
              <c:numCache>
                <c:formatCode>#,##0</c:formatCode>
                <c:ptCount val="77"/>
                <c:pt idx="0">
                  <c:v>194113</c:v>
                </c:pt>
                <c:pt idx="1">
                  <c:v>200449</c:v>
                </c:pt>
                <c:pt idx="2">
                  <c:v>208235</c:v>
                </c:pt>
                <c:pt idx="3">
                  <c:v>309344</c:v>
                </c:pt>
                <c:pt idx="4">
                  <c:v>239298</c:v>
                </c:pt>
                <c:pt idx="5">
                  <c:v>249111</c:v>
                </c:pt>
                <c:pt idx="6">
                  <c:v>254843</c:v>
                </c:pt>
                <c:pt idx="7">
                  <c:v>341394</c:v>
                </c:pt>
                <c:pt idx="8">
                  <c:v>268825</c:v>
                </c:pt>
                <c:pt idx="9">
                  <c:v>273539</c:v>
                </c:pt>
                <c:pt idx="10">
                  <c:v>284043</c:v>
                </c:pt>
                <c:pt idx="11">
                  <c:v>396364</c:v>
                </c:pt>
                <c:pt idx="12">
                  <c:v>320196</c:v>
                </c:pt>
                <c:pt idx="13">
                  <c:v>321804</c:v>
                </c:pt>
                <c:pt idx="14">
                  <c:v>339179</c:v>
                </c:pt>
                <c:pt idx="15">
                  <c:v>473659</c:v>
                </c:pt>
                <c:pt idx="16">
                  <c:v>386006</c:v>
                </c:pt>
                <c:pt idx="17">
                  <c:v>394567</c:v>
                </c:pt>
                <c:pt idx="18">
                  <c:v>413067</c:v>
                </c:pt>
                <c:pt idx="19">
                  <c:v>582511</c:v>
                </c:pt>
                <c:pt idx="20">
                  <c:v>474098</c:v>
                </c:pt>
                <c:pt idx="21">
                  <c:v>481683</c:v>
                </c:pt>
                <c:pt idx="22">
                  <c:v>505640</c:v>
                </c:pt>
                <c:pt idx="23">
                  <c:v>758835</c:v>
                </c:pt>
                <c:pt idx="24">
                  <c:v>582712</c:v>
                </c:pt>
                <c:pt idx="25">
                  <c:v>600998</c:v>
                </c:pt>
                <c:pt idx="26">
                  <c:v>618781</c:v>
                </c:pt>
                <c:pt idx="27">
                  <c:v>868082</c:v>
                </c:pt>
                <c:pt idx="28">
                  <c:v>713770</c:v>
                </c:pt>
                <c:pt idx="29">
                  <c:v>734236</c:v>
                </c:pt>
                <c:pt idx="30">
                  <c:v>745722</c:v>
                </c:pt>
                <c:pt idx="31">
                  <c:v>1047641</c:v>
                </c:pt>
                <c:pt idx="32">
                  <c:v>868122</c:v>
                </c:pt>
                <c:pt idx="33">
                  <c:v>876999</c:v>
                </c:pt>
                <c:pt idx="34">
                  <c:v>910700</c:v>
                </c:pt>
                <c:pt idx="35">
                  <c:v>1268295</c:v>
                </c:pt>
                <c:pt idx="36">
                  <c:v>1073716</c:v>
                </c:pt>
                <c:pt idx="37">
                  <c:v>1069215</c:v>
                </c:pt>
                <c:pt idx="38">
                  <c:v>1131232</c:v>
                </c:pt>
                <c:pt idx="39">
                  <c:v>1580574</c:v>
                </c:pt>
                <c:pt idx="40">
                  <c:v>1314879</c:v>
                </c:pt>
                <c:pt idx="41">
                  <c:v>1289854</c:v>
                </c:pt>
                <c:pt idx="42">
                  <c:v>1342181</c:v>
                </c:pt>
                <c:pt idx="43">
                  <c:v>1937592</c:v>
                </c:pt>
                <c:pt idx="44">
                  <c:v>1543667</c:v>
                </c:pt>
                <c:pt idx="45">
                  <c:v>1488221</c:v>
                </c:pt>
                <c:pt idx="46">
                  <c:v>1560011</c:v>
                </c:pt>
                <c:pt idx="47">
                  <c:v>2124716</c:v>
                </c:pt>
                <c:pt idx="48">
                  <c:v>1743029</c:v>
                </c:pt>
                <c:pt idx="49">
                  <c:v>1666607</c:v>
                </c:pt>
                <c:pt idx="50">
                  <c:v>1682514</c:v>
                </c:pt>
                <c:pt idx="51">
                  <c:v>2305918</c:v>
                </c:pt>
                <c:pt idx="52">
                  <c:v>1173210</c:v>
                </c:pt>
                <c:pt idx="53">
                  <c:v>1228009</c:v>
                </c:pt>
                <c:pt idx="54">
                  <c:v>1552033</c:v>
                </c:pt>
                <c:pt idx="55">
                  <c:v>2198701</c:v>
                </c:pt>
                <c:pt idx="56">
                  <c:v>1938519</c:v>
                </c:pt>
                <c:pt idx="57">
                  <c:v>1967207</c:v>
                </c:pt>
                <c:pt idx="58">
                  <c:v>1995775</c:v>
                </c:pt>
                <c:pt idx="59">
                  <c:v>2729388</c:v>
                </c:pt>
                <c:pt idx="60">
                  <c:v>2345901</c:v>
                </c:pt>
                <c:pt idx="61">
                  <c:v>2297113</c:v>
                </c:pt>
                <c:pt idx="62">
                  <c:v>2338793</c:v>
                </c:pt>
                <c:pt idx="63">
                  <c:v>3226773</c:v>
                </c:pt>
                <c:pt idx="64">
                  <c:v>2634263</c:v>
                </c:pt>
                <c:pt idx="65">
                  <c:v>2529809</c:v>
                </c:pt>
                <c:pt idx="66">
                  <c:v>2488933</c:v>
                </c:pt>
                <c:pt idx="67">
                  <c:v>3554298</c:v>
                </c:pt>
                <c:pt idx="68">
                  <c:v>2725848</c:v>
                </c:pt>
                <c:pt idx="69">
                  <c:v>2552087</c:v>
                </c:pt>
                <c:pt idx="70">
                  <c:v>2530100</c:v>
                </c:pt>
                <c:pt idx="71">
                  <c:v>3487619</c:v>
                </c:pt>
                <c:pt idx="72">
                  <c:v>2848367</c:v>
                </c:pt>
                <c:pt idx="73">
                  <c:v>2788469</c:v>
                </c:pt>
                <c:pt idx="74">
                  <c:v>2857623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51-4A90-A22A-5A01B4525DA4}"/>
            </c:ext>
          </c:extLst>
        </c:ser>
        <c:ser>
          <c:idx val="1"/>
          <c:order val="1"/>
          <c:tx>
            <c:strRef>
              <c:f>'ULTA %Sales &amp; Trend'!$I$4</c:f>
              <c:strCache>
                <c:ptCount val="1"/>
                <c:pt idx="0">
                  <c:v>net PPE</c:v>
                </c:pt>
              </c:strCache>
            </c:strRef>
          </c:tx>
          <c:spPr>
            <a:ln w="9525" cap="rnd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'ULTA %Sales &amp; Trend'!$B$13:$B$89</c:f>
              <c:numCache>
                <c:formatCode>m/d/yyyy</c:formatCode>
                <c:ptCount val="77"/>
                <c:pt idx="0">
                  <c:v>39202</c:v>
                </c:pt>
                <c:pt idx="1">
                  <c:v>39293</c:v>
                </c:pt>
                <c:pt idx="2">
                  <c:v>39386</c:v>
                </c:pt>
                <c:pt idx="3">
                  <c:v>39478</c:v>
                </c:pt>
                <c:pt idx="4">
                  <c:v>39568</c:v>
                </c:pt>
                <c:pt idx="5">
                  <c:v>39660</c:v>
                </c:pt>
                <c:pt idx="6">
                  <c:v>39752</c:v>
                </c:pt>
                <c:pt idx="7">
                  <c:v>39844</c:v>
                </c:pt>
                <c:pt idx="8">
                  <c:v>39933</c:v>
                </c:pt>
                <c:pt idx="9">
                  <c:v>40025</c:v>
                </c:pt>
                <c:pt idx="10">
                  <c:v>40117</c:v>
                </c:pt>
                <c:pt idx="11">
                  <c:v>40209</c:v>
                </c:pt>
                <c:pt idx="12">
                  <c:v>40298</c:v>
                </c:pt>
                <c:pt idx="13">
                  <c:v>40390</c:v>
                </c:pt>
                <c:pt idx="14">
                  <c:v>40482</c:v>
                </c:pt>
                <c:pt idx="15">
                  <c:v>40574</c:v>
                </c:pt>
                <c:pt idx="16">
                  <c:v>40663</c:v>
                </c:pt>
                <c:pt idx="17">
                  <c:v>40755</c:v>
                </c:pt>
                <c:pt idx="18">
                  <c:v>40847</c:v>
                </c:pt>
                <c:pt idx="19">
                  <c:v>40939</c:v>
                </c:pt>
                <c:pt idx="20">
                  <c:v>41029</c:v>
                </c:pt>
                <c:pt idx="21">
                  <c:v>41121</c:v>
                </c:pt>
                <c:pt idx="22">
                  <c:v>41213</c:v>
                </c:pt>
                <c:pt idx="23">
                  <c:v>41365</c:v>
                </c:pt>
                <c:pt idx="24">
                  <c:v>41435</c:v>
                </c:pt>
                <c:pt idx="25">
                  <c:v>41528</c:v>
                </c:pt>
                <c:pt idx="26">
                  <c:v>41612</c:v>
                </c:pt>
                <c:pt idx="27">
                  <c:v>41728</c:v>
                </c:pt>
                <c:pt idx="28">
                  <c:v>41794</c:v>
                </c:pt>
                <c:pt idx="29">
                  <c:v>41823</c:v>
                </c:pt>
                <c:pt idx="30">
                  <c:v>41976</c:v>
                </c:pt>
                <c:pt idx="31">
                  <c:v>42091</c:v>
                </c:pt>
                <c:pt idx="32">
                  <c:v>42157</c:v>
                </c:pt>
                <c:pt idx="33">
                  <c:v>42241</c:v>
                </c:pt>
                <c:pt idx="34">
                  <c:v>42339</c:v>
                </c:pt>
                <c:pt idx="35">
                  <c:v>42463</c:v>
                </c:pt>
                <c:pt idx="36">
                  <c:v>42522</c:v>
                </c:pt>
                <c:pt idx="37">
                  <c:v>42613</c:v>
                </c:pt>
                <c:pt idx="38">
                  <c:v>42704</c:v>
                </c:pt>
                <c:pt idx="39">
                  <c:v>42827</c:v>
                </c:pt>
                <c:pt idx="40">
                  <c:v>42887</c:v>
                </c:pt>
                <c:pt idx="41">
                  <c:v>42977</c:v>
                </c:pt>
                <c:pt idx="42">
                  <c:v>43075</c:v>
                </c:pt>
                <c:pt idx="43">
                  <c:v>43186</c:v>
                </c:pt>
                <c:pt idx="44">
                  <c:v>43250</c:v>
                </c:pt>
                <c:pt idx="45">
                  <c:v>43341</c:v>
                </c:pt>
                <c:pt idx="46">
                  <c:v>43439</c:v>
                </c:pt>
                <c:pt idx="47">
                  <c:v>43550</c:v>
                </c:pt>
                <c:pt idx="48">
                  <c:v>43613</c:v>
                </c:pt>
                <c:pt idx="49">
                  <c:v>43704</c:v>
                </c:pt>
                <c:pt idx="50">
                  <c:v>43802</c:v>
                </c:pt>
                <c:pt idx="51">
                  <c:v>43915</c:v>
                </c:pt>
                <c:pt idx="52">
                  <c:v>43978</c:v>
                </c:pt>
                <c:pt idx="53">
                  <c:v>44068</c:v>
                </c:pt>
                <c:pt idx="54">
                  <c:v>44167</c:v>
                </c:pt>
                <c:pt idx="55">
                  <c:v>44279</c:v>
                </c:pt>
                <c:pt idx="56">
                  <c:v>44342</c:v>
                </c:pt>
                <c:pt idx="57">
                  <c:v>44433</c:v>
                </c:pt>
                <c:pt idx="58">
                  <c:v>44531</c:v>
                </c:pt>
                <c:pt idx="59">
                  <c:v>44646</c:v>
                </c:pt>
                <c:pt idx="60">
                  <c:v>44706</c:v>
                </c:pt>
                <c:pt idx="61">
                  <c:v>44797</c:v>
                </c:pt>
                <c:pt idx="62">
                  <c:v>44895</c:v>
                </c:pt>
                <c:pt idx="63">
                  <c:v>45012</c:v>
                </c:pt>
                <c:pt idx="64">
                  <c:v>45076</c:v>
                </c:pt>
                <c:pt idx="65">
                  <c:v>45167</c:v>
                </c:pt>
                <c:pt idx="66">
                  <c:v>45265</c:v>
                </c:pt>
                <c:pt idx="67">
                  <c:v>45378</c:v>
                </c:pt>
                <c:pt idx="68">
                  <c:v>45441</c:v>
                </c:pt>
                <c:pt idx="69">
                  <c:v>45532</c:v>
                </c:pt>
                <c:pt idx="70">
                  <c:v>45631</c:v>
                </c:pt>
                <c:pt idx="71">
                  <c:v>45743</c:v>
                </c:pt>
                <c:pt idx="72">
                  <c:v>45806</c:v>
                </c:pt>
                <c:pt idx="73">
                  <c:v>45897</c:v>
                </c:pt>
                <c:pt idx="74">
                  <c:v>45995</c:v>
                </c:pt>
                <c:pt idx="75">
                  <c:v>46108</c:v>
                </c:pt>
                <c:pt idx="76">
                  <c:v>46234</c:v>
                </c:pt>
              </c:numCache>
            </c:numRef>
          </c:xVal>
          <c:yVal>
            <c:numRef>
              <c:f>'ULTA %Sales &amp; Trend'!$I$13:$I$88</c:f>
              <c:numCache>
                <c:formatCode>_(* #,##0_);_(* \(#,##0\);_(* "-"??_);_(@_)</c:formatCode>
                <c:ptCount val="76"/>
                <c:pt idx="0">
                  <c:v>174916</c:v>
                </c:pt>
                <c:pt idx="1">
                  <c:v>196919</c:v>
                </c:pt>
                <c:pt idx="2">
                  <c:v>226533</c:v>
                </c:pt>
                <c:pt idx="3">
                  <c:v>236389</c:v>
                </c:pt>
                <c:pt idx="4">
                  <c:v>255123</c:v>
                </c:pt>
                <c:pt idx="5">
                  <c:v>278378</c:v>
                </c:pt>
                <c:pt idx="6">
                  <c:v>292120</c:v>
                </c:pt>
                <c:pt idx="7">
                  <c:v>292224</c:v>
                </c:pt>
                <c:pt idx="8">
                  <c:v>286140</c:v>
                </c:pt>
                <c:pt idx="9">
                  <c:v>288537</c:v>
                </c:pt>
                <c:pt idx="10">
                  <c:v>293746</c:v>
                </c:pt>
                <c:pt idx="11">
                  <c:v>290861</c:v>
                </c:pt>
                <c:pt idx="12">
                  <c:v>285766</c:v>
                </c:pt>
                <c:pt idx="13">
                  <c:v>301333</c:v>
                </c:pt>
                <c:pt idx="14">
                  <c:v>331390</c:v>
                </c:pt>
                <c:pt idx="15">
                  <c:v>326099</c:v>
                </c:pt>
                <c:pt idx="16">
                  <c:v>332147</c:v>
                </c:pt>
                <c:pt idx="17">
                  <c:v>351576</c:v>
                </c:pt>
                <c:pt idx="18">
                  <c:v>373794</c:v>
                </c:pt>
                <c:pt idx="19">
                  <c:v>376985</c:v>
                </c:pt>
                <c:pt idx="20">
                  <c:v>384904</c:v>
                </c:pt>
                <c:pt idx="21">
                  <c:v>421063</c:v>
                </c:pt>
                <c:pt idx="22">
                  <c:v>467165</c:v>
                </c:pt>
                <c:pt idx="23">
                  <c:v>483059</c:v>
                </c:pt>
                <c:pt idx="24">
                  <c:v>499395</c:v>
                </c:pt>
                <c:pt idx="25">
                  <c:v>541557</c:v>
                </c:pt>
                <c:pt idx="26">
                  <c:v>590132</c:v>
                </c:pt>
                <c:pt idx="27">
                  <c:v>595736</c:v>
                </c:pt>
                <c:pt idx="28">
                  <c:v>603933</c:v>
                </c:pt>
                <c:pt idx="29">
                  <c:v>646890</c:v>
                </c:pt>
                <c:pt idx="30">
                  <c:v>686898</c:v>
                </c:pt>
                <c:pt idx="31">
                  <c:v>717159</c:v>
                </c:pt>
                <c:pt idx="32">
                  <c:v>744665</c:v>
                </c:pt>
                <c:pt idx="33">
                  <c:v>791904</c:v>
                </c:pt>
                <c:pt idx="34">
                  <c:v>844238</c:v>
                </c:pt>
                <c:pt idx="35">
                  <c:v>847600</c:v>
                </c:pt>
                <c:pt idx="36">
                  <c:v>870835</c:v>
                </c:pt>
                <c:pt idx="37">
                  <c:v>919597</c:v>
                </c:pt>
                <c:pt idx="38">
                  <c:v>1001938</c:v>
                </c:pt>
                <c:pt idx="39">
                  <c:v>1004358</c:v>
                </c:pt>
                <c:pt idx="40">
                  <c:v>1020853</c:v>
                </c:pt>
                <c:pt idx="41">
                  <c:v>1095135</c:v>
                </c:pt>
                <c:pt idx="42">
                  <c:v>1172682</c:v>
                </c:pt>
                <c:pt idx="43">
                  <c:v>1189453</c:v>
                </c:pt>
                <c:pt idx="44">
                  <c:v>1190969</c:v>
                </c:pt>
                <c:pt idx="45">
                  <c:v>1212978</c:v>
                </c:pt>
                <c:pt idx="46">
                  <c:v>1257775</c:v>
                </c:pt>
                <c:pt idx="47">
                  <c:v>1226029</c:v>
                </c:pt>
                <c:pt idx="48">
                  <c:v>2685051</c:v>
                </c:pt>
                <c:pt idx="49">
                  <c:v>2719504</c:v>
                </c:pt>
                <c:pt idx="50">
                  <c:v>2762936</c:v>
                </c:pt>
                <c:pt idx="51">
                  <c:v>2743089</c:v>
                </c:pt>
                <c:pt idx="52">
                  <c:v>2731831</c:v>
                </c:pt>
                <c:pt idx="53">
                  <c:v>2626064</c:v>
                </c:pt>
                <c:pt idx="54">
                  <c:v>2552292</c:v>
                </c:pt>
                <c:pt idx="55">
                  <c:v>2500409</c:v>
                </c:pt>
                <c:pt idx="56">
                  <c:v>2448056</c:v>
                </c:pt>
                <c:pt idx="57">
                  <c:v>2379673</c:v>
                </c:pt>
                <c:pt idx="58">
                  <c:v>2373198</c:v>
                </c:pt>
                <c:pt idx="59">
                  <c:v>2396732</c:v>
                </c:pt>
                <c:pt idx="60">
                  <c:v>2397583</c:v>
                </c:pt>
                <c:pt idx="61">
                  <c:v>2421263</c:v>
                </c:pt>
                <c:pt idx="62">
                  <c:v>2523979</c:v>
                </c:pt>
                <c:pt idx="63">
                  <c:v>2570536</c:v>
                </c:pt>
                <c:pt idx="64">
                  <c:v>2579538</c:v>
                </c:pt>
                <c:pt idx="65">
                  <c:v>2622290</c:v>
                </c:pt>
                <c:pt idx="66">
                  <c:v>2696190</c:v>
                </c:pt>
                <c:pt idx="67">
                  <c:v>2756865</c:v>
                </c:pt>
                <c:pt idx="68">
                  <c:v>2757425</c:v>
                </c:pt>
                <c:pt idx="69">
                  <c:v>2825585</c:v>
                </c:pt>
                <c:pt idx="70">
                  <c:v>2883474</c:v>
                </c:pt>
                <c:pt idx="71">
                  <c:v>2849165</c:v>
                </c:pt>
                <c:pt idx="72" formatCode="#,##0">
                  <c:v>2910121</c:v>
                </c:pt>
                <c:pt idx="73">
                  <c:v>3014654</c:v>
                </c:pt>
                <c:pt idx="74">
                  <c:v>3077308</c:v>
                </c:pt>
                <c:pt idx="75">
                  <c:v>3042601.1207761094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51-4A90-A22A-5A01B4525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113455"/>
        <c:axId val="1434441951"/>
      </c:scatterChart>
      <c:valAx>
        <c:axId val="168011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441951"/>
        <c:crosses val="autoZero"/>
        <c:crossBetween val="midCat"/>
      </c:valAx>
      <c:valAx>
        <c:axId val="143444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113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Q SALES TREND VS. CMA4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'ULTA CMA'!$C$5</c:f>
              <c:strCache>
                <c:ptCount val="1"/>
                <c:pt idx="0">
                  <c:v>Q Sales</c:v>
                </c:pt>
              </c:strCache>
            </c:strRef>
          </c:tx>
          <c:spPr>
            <a:ln w="34925" cap="rnd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'ULTA CMA'!$B$6:$B$92</c:f>
              <c:numCache>
                <c:formatCode>m/d/yyyy</c:formatCode>
                <c:ptCount val="87"/>
                <c:pt idx="0">
                  <c:v>38472</c:v>
                </c:pt>
                <c:pt idx="1">
                  <c:v>38564</c:v>
                </c:pt>
                <c:pt idx="2">
                  <c:v>38656</c:v>
                </c:pt>
                <c:pt idx="3">
                  <c:v>38748</c:v>
                </c:pt>
                <c:pt idx="4">
                  <c:v>38837</c:v>
                </c:pt>
                <c:pt idx="5">
                  <c:v>38929</c:v>
                </c:pt>
                <c:pt idx="6">
                  <c:v>39021</c:v>
                </c:pt>
                <c:pt idx="7">
                  <c:v>39113</c:v>
                </c:pt>
                <c:pt idx="8">
                  <c:v>39202</c:v>
                </c:pt>
                <c:pt idx="9">
                  <c:v>39293</c:v>
                </c:pt>
                <c:pt idx="10">
                  <c:v>39386</c:v>
                </c:pt>
                <c:pt idx="11">
                  <c:v>39478</c:v>
                </c:pt>
                <c:pt idx="12">
                  <c:v>39568</c:v>
                </c:pt>
                <c:pt idx="13">
                  <c:v>39660</c:v>
                </c:pt>
                <c:pt idx="14">
                  <c:v>39752</c:v>
                </c:pt>
                <c:pt idx="15">
                  <c:v>39844</c:v>
                </c:pt>
                <c:pt idx="16">
                  <c:v>39933</c:v>
                </c:pt>
                <c:pt idx="17">
                  <c:v>40025</c:v>
                </c:pt>
                <c:pt idx="18">
                  <c:v>40117</c:v>
                </c:pt>
                <c:pt idx="19">
                  <c:v>40209</c:v>
                </c:pt>
                <c:pt idx="20">
                  <c:v>40298</c:v>
                </c:pt>
                <c:pt idx="21">
                  <c:v>40390</c:v>
                </c:pt>
                <c:pt idx="22">
                  <c:v>40482</c:v>
                </c:pt>
                <c:pt idx="23">
                  <c:v>40574</c:v>
                </c:pt>
                <c:pt idx="24">
                  <c:v>40663</c:v>
                </c:pt>
                <c:pt idx="25">
                  <c:v>40755</c:v>
                </c:pt>
                <c:pt idx="26">
                  <c:v>40847</c:v>
                </c:pt>
                <c:pt idx="27">
                  <c:v>40939</c:v>
                </c:pt>
                <c:pt idx="28">
                  <c:v>41029</c:v>
                </c:pt>
                <c:pt idx="29">
                  <c:v>41121</c:v>
                </c:pt>
                <c:pt idx="30">
                  <c:v>41213</c:v>
                </c:pt>
                <c:pt idx="31">
                  <c:v>41365</c:v>
                </c:pt>
                <c:pt idx="32">
                  <c:v>41435</c:v>
                </c:pt>
                <c:pt idx="33">
                  <c:v>41528</c:v>
                </c:pt>
                <c:pt idx="34">
                  <c:v>41612</c:v>
                </c:pt>
                <c:pt idx="35">
                  <c:v>41728</c:v>
                </c:pt>
                <c:pt idx="36">
                  <c:v>41794</c:v>
                </c:pt>
                <c:pt idx="37">
                  <c:v>41823</c:v>
                </c:pt>
                <c:pt idx="38">
                  <c:v>41976</c:v>
                </c:pt>
                <c:pt idx="39">
                  <c:v>42091</c:v>
                </c:pt>
                <c:pt idx="40">
                  <c:v>42157</c:v>
                </c:pt>
                <c:pt idx="41">
                  <c:v>42241</c:v>
                </c:pt>
                <c:pt idx="42">
                  <c:v>42339</c:v>
                </c:pt>
                <c:pt idx="43">
                  <c:v>42463</c:v>
                </c:pt>
                <c:pt idx="44">
                  <c:v>42522</c:v>
                </c:pt>
                <c:pt idx="45">
                  <c:v>42613</c:v>
                </c:pt>
                <c:pt idx="46">
                  <c:v>42704</c:v>
                </c:pt>
                <c:pt idx="47">
                  <c:v>42827</c:v>
                </c:pt>
                <c:pt idx="48">
                  <c:v>42887</c:v>
                </c:pt>
                <c:pt idx="49">
                  <c:v>42977</c:v>
                </c:pt>
                <c:pt idx="50">
                  <c:v>43075</c:v>
                </c:pt>
                <c:pt idx="51">
                  <c:v>43186</c:v>
                </c:pt>
                <c:pt idx="52">
                  <c:v>43250</c:v>
                </c:pt>
                <c:pt idx="53">
                  <c:v>43341</c:v>
                </c:pt>
                <c:pt idx="54">
                  <c:v>43439</c:v>
                </c:pt>
                <c:pt idx="55">
                  <c:v>43550</c:v>
                </c:pt>
                <c:pt idx="56">
                  <c:v>43613</c:v>
                </c:pt>
                <c:pt idx="57">
                  <c:v>43704</c:v>
                </c:pt>
                <c:pt idx="58">
                  <c:v>43802</c:v>
                </c:pt>
                <c:pt idx="59">
                  <c:v>43915</c:v>
                </c:pt>
                <c:pt idx="60">
                  <c:v>43978</c:v>
                </c:pt>
                <c:pt idx="61">
                  <c:v>44068</c:v>
                </c:pt>
                <c:pt idx="62">
                  <c:v>44167</c:v>
                </c:pt>
                <c:pt idx="63">
                  <c:v>44279</c:v>
                </c:pt>
                <c:pt idx="64">
                  <c:v>44342</c:v>
                </c:pt>
                <c:pt idx="65">
                  <c:v>44433</c:v>
                </c:pt>
                <c:pt idx="66">
                  <c:v>44531</c:v>
                </c:pt>
                <c:pt idx="67">
                  <c:v>44646</c:v>
                </c:pt>
                <c:pt idx="68">
                  <c:v>44706</c:v>
                </c:pt>
                <c:pt idx="69">
                  <c:v>44797</c:v>
                </c:pt>
                <c:pt idx="70">
                  <c:v>44895</c:v>
                </c:pt>
                <c:pt idx="71">
                  <c:v>45012</c:v>
                </c:pt>
                <c:pt idx="72">
                  <c:v>45076</c:v>
                </c:pt>
                <c:pt idx="73">
                  <c:v>45167</c:v>
                </c:pt>
                <c:pt idx="74">
                  <c:v>45265</c:v>
                </c:pt>
                <c:pt idx="75">
                  <c:v>45378</c:v>
                </c:pt>
                <c:pt idx="76">
                  <c:v>45441</c:v>
                </c:pt>
                <c:pt idx="77">
                  <c:v>45532</c:v>
                </c:pt>
                <c:pt idx="78">
                  <c:v>45631</c:v>
                </c:pt>
                <c:pt idx="79">
                  <c:v>45743</c:v>
                </c:pt>
                <c:pt idx="80">
                  <c:v>45806</c:v>
                </c:pt>
                <c:pt idx="81">
                  <c:v>45897</c:v>
                </c:pt>
                <c:pt idx="82">
                  <c:v>45995</c:v>
                </c:pt>
                <c:pt idx="83">
                  <c:v>46108</c:v>
                </c:pt>
                <c:pt idx="84">
                  <c:v>46234</c:v>
                </c:pt>
                <c:pt idx="85">
                  <c:v>46262</c:v>
                </c:pt>
                <c:pt idx="86">
                  <c:v>46360</c:v>
                </c:pt>
              </c:numCache>
            </c:numRef>
          </c:cat>
          <c:val>
            <c:numRef>
              <c:f>'ULTA CMA'!$C$6:$C$92</c:f>
              <c:numCache>
                <c:formatCode>_(* #,##0_);_(* \(#,##0\);_(* "-"??_);_(@_)</c:formatCode>
                <c:ptCount val="87"/>
                <c:pt idx="0">
                  <c:v>144769</c:v>
                </c:pt>
                <c:pt idx="1">
                  <c:v>144769</c:v>
                </c:pt>
                <c:pt idx="2">
                  <c:v>144769</c:v>
                </c:pt>
                <c:pt idx="3">
                  <c:v>144768</c:v>
                </c:pt>
                <c:pt idx="4">
                  <c:v>159468</c:v>
                </c:pt>
                <c:pt idx="5">
                  <c:v>162558</c:v>
                </c:pt>
                <c:pt idx="6">
                  <c:v>216544</c:v>
                </c:pt>
                <c:pt idx="7">
                  <c:v>216543</c:v>
                </c:pt>
                <c:pt idx="8">
                  <c:v>194113</c:v>
                </c:pt>
                <c:pt idx="9">
                  <c:v>200449</c:v>
                </c:pt>
                <c:pt idx="10">
                  <c:v>208235</c:v>
                </c:pt>
                <c:pt idx="11">
                  <c:v>309344</c:v>
                </c:pt>
                <c:pt idx="12">
                  <c:v>239298</c:v>
                </c:pt>
                <c:pt idx="13">
                  <c:v>249111</c:v>
                </c:pt>
                <c:pt idx="14">
                  <c:v>254843</c:v>
                </c:pt>
                <c:pt idx="15">
                  <c:v>341394</c:v>
                </c:pt>
                <c:pt idx="16">
                  <c:v>268825</c:v>
                </c:pt>
                <c:pt idx="17">
                  <c:v>273539</c:v>
                </c:pt>
                <c:pt idx="18">
                  <c:v>284043</c:v>
                </c:pt>
                <c:pt idx="19">
                  <c:v>396364</c:v>
                </c:pt>
                <c:pt idx="20">
                  <c:v>320196</c:v>
                </c:pt>
                <c:pt idx="21">
                  <c:v>321804</c:v>
                </c:pt>
                <c:pt idx="22">
                  <c:v>339179</c:v>
                </c:pt>
                <c:pt idx="23">
                  <c:v>473659</c:v>
                </c:pt>
                <c:pt idx="24">
                  <c:v>386006</c:v>
                </c:pt>
                <c:pt idx="25">
                  <c:v>394567</c:v>
                </c:pt>
                <c:pt idx="26">
                  <c:v>413067</c:v>
                </c:pt>
                <c:pt idx="27">
                  <c:v>582511</c:v>
                </c:pt>
                <c:pt idx="28">
                  <c:v>474098</c:v>
                </c:pt>
                <c:pt idx="29">
                  <c:v>481683</c:v>
                </c:pt>
                <c:pt idx="30">
                  <c:v>505640</c:v>
                </c:pt>
                <c:pt idx="31">
                  <c:v>758835</c:v>
                </c:pt>
                <c:pt idx="32">
                  <c:v>582712</c:v>
                </c:pt>
                <c:pt idx="33">
                  <c:v>600998</c:v>
                </c:pt>
                <c:pt idx="34">
                  <c:v>618781</c:v>
                </c:pt>
                <c:pt idx="35">
                  <c:v>868082</c:v>
                </c:pt>
                <c:pt idx="36">
                  <c:v>713770</c:v>
                </c:pt>
                <c:pt idx="37">
                  <c:v>734236</c:v>
                </c:pt>
                <c:pt idx="38">
                  <c:v>745722</c:v>
                </c:pt>
                <c:pt idx="39">
                  <c:v>1047641</c:v>
                </c:pt>
                <c:pt idx="40">
                  <c:v>868122</c:v>
                </c:pt>
                <c:pt idx="41">
                  <c:v>876999</c:v>
                </c:pt>
                <c:pt idx="42">
                  <c:v>910700</c:v>
                </c:pt>
                <c:pt idx="43">
                  <c:v>1268295</c:v>
                </c:pt>
                <c:pt idx="44">
                  <c:v>1073716</c:v>
                </c:pt>
                <c:pt idx="45">
                  <c:v>1069215</c:v>
                </c:pt>
                <c:pt idx="46">
                  <c:v>1131232</c:v>
                </c:pt>
                <c:pt idx="47">
                  <c:v>1580574</c:v>
                </c:pt>
                <c:pt idx="48">
                  <c:v>1314879</c:v>
                </c:pt>
                <c:pt idx="49">
                  <c:v>1289854</c:v>
                </c:pt>
                <c:pt idx="50">
                  <c:v>1342181</c:v>
                </c:pt>
                <c:pt idx="51">
                  <c:v>1937592</c:v>
                </c:pt>
                <c:pt idx="52">
                  <c:v>1543667</c:v>
                </c:pt>
                <c:pt idx="53">
                  <c:v>1488221</c:v>
                </c:pt>
                <c:pt idx="54">
                  <c:v>1560011</c:v>
                </c:pt>
                <c:pt idx="55">
                  <c:v>2124716</c:v>
                </c:pt>
                <c:pt idx="56">
                  <c:v>1743029</c:v>
                </c:pt>
                <c:pt idx="57">
                  <c:v>1666607</c:v>
                </c:pt>
                <c:pt idx="58">
                  <c:v>1682514</c:v>
                </c:pt>
                <c:pt idx="59">
                  <c:v>2305918</c:v>
                </c:pt>
                <c:pt idx="60">
                  <c:v>1173210</c:v>
                </c:pt>
                <c:pt idx="61">
                  <c:v>1228009</c:v>
                </c:pt>
                <c:pt idx="62">
                  <c:v>1552033</c:v>
                </c:pt>
                <c:pt idx="63">
                  <c:v>2198701</c:v>
                </c:pt>
                <c:pt idx="64">
                  <c:v>1938519</c:v>
                </c:pt>
                <c:pt idx="65">
                  <c:v>1967207</c:v>
                </c:pt>
                <c:pt idx="66">
                  <c:v>1995775</c:v>
                </c:pt>
                <c:pt idx="67">
                  <c:v>2729388</c:v>
                </c:pt>
                <c:pt idx="68">
                  <c:v>2345901</c:v>
                </c:pt>
                <c:pt idx="69">
                  <c:v>2297113</c:v>
                </c:pt>
                <c:pt idx="70">
                  <c:v>2338793</c:v>
                </c:pt>
                <c:pt idx="71">
                  <c:v>3226773</c:v>
                </c:pt>
                <c:pt idx="72">
                  <c:v>2634263</c:v>
                </c:pt>
                <c:pt idx="73">
                  <c:v>2529809</c:v>
                </c:pt>
                <c:pt idx="74">
                  <c:v>2488933</c:v>
                </c:pt>
                <c:pt idx="75">
                  <c:v>3554298</c:v>
                </c:pt>
                <c:pt idx="76">
                  <c:v>2725848</c:v>
                </c:pt>
                <c:pt idx="77">
                  <c:v>2552087</c:v>
                </c:pt>
                <c:pt idx="78">
                  <c:v>2530100</c:v>
                </c:pt>
                <c:pt idx="79">
                  <c:v>3487619</c:v>
                </c:pt>
                <c:pt idx="80">
                  <c:v>2848367</c:v>
                </c:pt>
                <c:pt idx="81">
                  <c:v>2848367</c:v>
                </c:pt>
                <c:pt idx="82">
                  <c:v>2857623</c:v>
                </c:pt>
                <c:pt idx="83">
                  <c:v>2796511.5576728303</c:v>
                </c:pt>
                <c:pt idx="84">
                  <c:v>2848059.3748415466</c:v>
                </c:pt>
                <c:pt idx="85">
                  <c:v>2859514.4453234803</c:v>
                </c:pt>
                <c:pt idx="86">
                  <c:v>2899607.1920102593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79-498B-AEB9-42C6E3EB08DF}"/>
            </c:ext>
          </c:extLst>
        </c:ser>
        <c:ser>
          <c:idx val="1"/>
          <c:order val="1"/>
          <c:tx>
            <c:strRef>
              <c:f>'ULTA CMA'!$D$5</c:f>
              <c:strCache>
                <c:ptCount val="1"/>
                <c:pt idx="0">
                  <c:v>CMA4</c:v>
                </c:pt>
              </c:strCache>
            </c:strRef>
          </c:tx>
          <c:spPr>
            <a:ln w="34925" cap="rnd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'ULTA CMA'!$B$6:$B$92</c:f>
              <c:numCache>
                <c:formatCode>m/d/yyyy</c:formatCode>
                <c:ptCount val="87"/>
                <c:pt idx="0">
                  <c:v>38472</c:v>
                </c:pt>
                <c:pt idx="1">
                  <c:v>38564</c:v>
                </c:pt>
                <c:pt idx="2">
                  <c:v>38656</c:v>
                </c:pt>
                <c:pt idx="3">
                  <c:v>38748</c:v>
                </c:pt>
                <c:pt idx="4">
                  <c:v>38837</c:v>
                </c:pt>
                <c:pt idx="5">
                  <c:v>38929</c:v>
                </c:pt>
                <c:pt idx="6">
                  <c:v>39021</c:v>
                </c:pt>
                <c:pt idx="7">
                  <c:v>39113</c:v>
                </c:pt>
                <c:pt idx="8">
                  <c:v>39202</c:v>
                </c:pt>
                <c:pt idx="9">
                  <c:v>39293</c:v>
                </c:pt>
                <c:pt idx="10">
                  <c:v>39386</c:v>
                </c:pt>
                <c:pt idx="11">
                  <c:v>39478</c:v>
                </c:pt>
                <c:pt idx="12">
                  <c:v>39568</c:v>
                </c:pt>
                <c:pt idx="13">
                  <c:v>39660</c:v>
                </c:pt>
                <c:pt idx="14">
                  <c:v>39752</c:v>
                </c:pt>
                <c:pt idx="15">
                  <c:v>39844</c:v>
                </c:pt>
                <c:pt idx="16">
                  <c:v>39933</c:v>
                </c:pt>
                <c:pt idx="17">
                  <c:v>40025</c:v>
                </c:pt>
                <c:pt idx="18">
                  <c:v>40117</c:v>
                </c:pt>
                <c:pt idx="19">
                  <c:v>40209</c:v>
                </c:pt>
                <c:pt idx="20">
                  <c:v>40298</c:v>
                </c:pt>
                <c:pt idx="21">
                  <c:v>40390</c:v>
                </c:pt>
                <c:pt idx="22">
                  <c:v>40482</c:v>
                </c:pt>
                <c:pt idx="23">
                  <c:v>40574</c:v>
                </c:pt>
                <c:pt idx="24">
                  <c:v>40663</c:v>
                </c:pt>
                <c:pt idx="25">
                  <c:v>40755</c:v>
                </c:pt>
                <c:pt idx="26">
                  <c:v>40847</c:v>
                </c:pt>
                <c:pt idx="27">
                  <c:v>40939</c:v>
                </c:pt>
                <c:pt idx="28">
                  <c:v>41029</c:v>
                </c:pt>
                <c:pt idx="29">
                  <c:v>41121</c:v>
                </c:pt>
                <c:pt idx="30">
                  <c:v>41213</c:v>
                </c:pt>
                <c:pt idx="31">
                  <c:v>41365</c:v>
                </c:pt>
                <c:pt idx="32">
                  <c:v>41435</c:v>
                </c:pt>
                <c:pt idx="33">
                  <c:v>41528</c:v>
                </c:pt>
                <c:pt idx="34">
                  <c:v>41612</c:v>
                </c:pt>
                <c:pt idx="35">
                  <c:v>41728</c:v>
                </c:pt>
                <c:pt idx="36">
                  <c:v>41794</c:v>
                </c:pt>
                <c:pt idx="37">
                  <c:v>41823</c:v>
                </c:pt>
                <c:pt idx="38">
                  <c:v>41976</c:v>
                </c:pt>
                <c:pt idx="39">
                  <c:v>42091</c:v>
                </c:pt>
                <c:pt idx="40">
                  <c:v>42157</c:v>
                </c:pt>
                <c:pt idx="41">
                  <c:v>42241</c:v>
                </c:pt>
                <c:pt idx="42">
                  <c:v>42339</c:v>
                </c:pt>
                <c:pt idx="43">
                  <c:v>42463</c:v>
                </c:pt>
                <c:pt idx="44">
                  <c:v>42522</c:v>
                </c:pt>
                <c:pt idx="45">
                  <c:v>42613</c:v>
                </c:pt>
                <c:pt idx="46">
                  <c:v>42704</c:v>
                </c:pt>
                <c:pt idx="47">
                  <c:v>42827</c:v>
                </c:pt>
                <c:pt idx="48">
                  <c:v>42887</c:v>
                </c:pt>
                <c:pt idx="49">
                  <c:v>42977</c:v>
                </c:pt>
                <c:pt idx="50">
                  <c:v>43075</c:v>
                </c:pt>
                <c:pt idx="51">
                  <c:v>43186</c:v>
                </c:pt>
                <c:pt idx="52">
                  <c:v>43250</c:v>
                </c:pt>
                <c:pt idx="53">
                  <c:v>43341</c:v>
                </c:pt>
                <c:pt idx="54">
                  <c:v>43439</c:v>
                </c:pt>
                <c:pt idx="55">
                  <c:v>43550</c:v>
                </c:pt>
                <c:pt idx="56">
                  <c:v>43613</c:v>
                </c:pt>
                <c:pt idx="57">
                  <c:v>43704</c:v>
                </c:pt>
                <c:pt idx="58">
                  <c:v>43802</c:v>
                </c:pt>
                <c:pt idx="59">
                  <c:v>43915</c:v>
                </c:pt>
                <c:pt idx="60">
                  <c:v>43978</c:v>
                </c:pt>
                <c:pt idx="61">
                  <c:v>44068</c:v>
                </c:pt>
                <c:pt idx="62">
                  <c:v>44167</c:v>
                </c:pt>
                <c:pt idx="63">
                  <c:v>44279</c:v>
                </c:pt>
                <c:pt idx="64">
                  <c:v>44342</c:v>
                </c:pt>
                <c:pt idx="65">
                  <c:v>44433</c:v>
                </c:pt>
                <c:pt idx="66">
                  <c:v>44531</c:v>
                </c:pt>
                <c:pt idx="67">
                  <c:v>44646</c:v>
                </c:pt>
                <c:pt idx="68">
                  <c:v>44706</c:v>
                </c:pt>
                <c:pt idx="69">
                  <c:v>44797</c:v>
                </c:pt>
                <c:pt idx="70">
                  <c:v>44895</c:v>
                </c:pt>
                <c:pt idx="71">
                  <c:v>45012</c:v>
                </c:pt>
                <c:pt idx="72">
                  <c:v>45076</c:v>
                </c:pt>
                <c:pt idx="73">
                  <c:v>45167</c:v>
                </c:pt>
                <c:pt idx="74">
                  <c:v>45265</c:v>
                </c:pt>
                <c:pt idx="75">
                  <c:v>45378</c:v>
                </c:pt>
                <c:pt idx="76">
                  <c:v>45441</c:v>
                </c:pt>
                <c:pt idx="77">
                  <c:v>45532</c:v>
                </c:pt>
                <c:pt idx="78">
                  <c:v>45631</c:v>
                </c:pt>
                <c:pt idx="79">
                  <c:v>45743</c:v>
                </c:pt>
                <c:pt idx="80">
                  <c:v>45806</c:v>
                </c:pt>
                <c:pt idx="81">
                  <c:v>45897</c:v>
                </c:pt>
                <c:pt idx="82">
                  <c:v>45995</c:v>
                </c:pt>
                <c:pt idx="83">
                  <c:v>46108</c:v>
                </c:pt>
                <c:pt idx="84">
                  <c:v>46234</c:v>
                </c:pt>
                <c:pt idx="85">
                  <c:v>46262</c:v>
                </c:pt>
                <c:pt idx="86">
                  <c:v>46360</c:v>
                </c:pt>
              </c:numCache>
            </c:numRef>
          </c:cat>
          <c:val>
            <c:numRef>
              <c:f>'ULTA CMA'!$D$6:$D$92</c:f>
              <c:numCache>
                <c:formatCode>General</c:formatCode>
                <c:ptCount val="87"/>
                <c:pt idx="2" formatCode="_(* #,##0_);_(* \(#,##0\);_(* &quot;-&quot;??_);_(@_)">
                  <c:v>146606.125</c:v>
                </c:pt>
                <c:pt idx="3" formatCode="_(* #,##0_);_(* \(#,##0\);_(* &quot;-&quot;??_);_(@_)">
                  <c:v>150667.125</c:v>
                </c:pt>
                <c:pt idx="4" formatCode="_(* #,##0_);_(* \(#,##0\);_(* &quot;-&quot;??_);_(@_)">
                  <c:v>161862.625</c:v>
                </c:pt>
                <c:pt idx="5" formatCode="_(* #,##0_);_(* \(#,##0\);_(* &quot;-&quot;??_);_(@_)">
                  <c:v>179806.375</c:v>
                </c:pt>
                <c:pt idx="6" formatCode="_(* #,##0_);_(* \(#,##0\);_(* &quot;-&quot;??_);_(@_)">
                  <c:v>193108.875</c:v>
                </c:pt>
                <c:pt idx="7" formatCode="_(* #,##0_);_(* \(#,##0\);_(* &quot;-&quot;??_);_(@_)">
                  <c:v>202175.875</c:v>
                </c:pt>
                <c:pt idx="8" formatCode="_(* #,##0_);_(* \(#,##0\);_(* &quot;-&quot;??_);_(@_)">
                  <c:v>205873.625</c:v>
                </c:pt>
                <c:pt idx="9" formatCode="_(* #,##0_);_(* \(#,##0\);_(* &quot;-&quot;??_);_(@_)">
                  <c:v>216435.125</c:v>
                </c:pt>
                <c:pt idx="10" formatCode="_(* #,##0_);_(* \(#,##0\);_(* &quot;-&quot;??_);_(@_)">
                  <c:v>233683.375</c:v>
                </c:pt>
                <c:pt idx="11" formatCode="_(* #,##0_);_(* \(#,##0\);_(* &quot;-&quot;??_);_(@_)">
                  <c:v>245414.25</c:v>
                </c:pt>
                <c:pt idx="12" formatCode="_(* #,##0_);_(* \(#,##0\);_(* &quot;-&quot;??_);_(@_)">
                  <c:v>257323</c:v>
                </c:pt>
                <c:pt idx="13" formatCode="_(* #,##0_);_(* \(#,##0\);_(* &quot;-&quot;??_);_(@_)">
                  <c:v>267155.25</c:v>
                </c:pt>
                <c:pt idx="14" formatCode="_(* #,##0_);_(* \(#,##0\);_(* &quot;-&quot;??_);_(@_)">
                  <c:v>274852.375</c:v>
                </c:pt>
                <c:pt idx="15" formatCode="_(* #,##0_);_(* \(#,##0\);_(* &quot;-&quot;??_);_(@_)">
                  <c:v>281596.75</c:v>
                </c:pt>
                <c:pt idx="16" formatCode="_(* #,##0_);_(* \(#,##0\);_(* &quot;-&quot;??_);_(@_)">
                  <c:v>288300.25</c:v>
                </c:pt>
                <c:pt idx="17" formatCode="_(* #,##0_);_(* \(#,##0\);_(* &quot;-&quot;??_);_(@_)">
                  <c:v>298821.5</c:v>
                </c:pt>
                <c:pt idx="18" formatCode="_(* #,##0_);_(* \(#,##0\);_(* &quot;-&quot;??_);_(@_)">
                  <c:v>312114.125</c:v>
                </c:pt>
                <c:pt idx="19" formatCode="_(* #,##0_);_(* \(#,##0\);_(* &quot;-&quot;??_);_(@_)">
                  <c:v>324568.625</c:v>
                </c:pt>
                <c:pt idx="20" formatCode="_(* #,##0_);_(* \(#,##0\);_(* &quot;-&quot;??_);_(@_)">
                  <c:v>337493.75</c:v>
                </c:pt>
                <c:pt idx="21" formatCode="_(* #,##0_);_(* \(#,##0\);_(* &quot;-&quot;??_);_(@_)">
                  <c:v>354047.625</c:v>
                </c:pt>
                <c:pt idx="22" formatCode="_(* #,##0_);_(* \(#,##0\);_(* &quot;-&quot;??_);_(@_)">
                  <c:v>371935.75</c:v>
                </c:pt>
                <c:pt idx="23" formatCode="_(* #,##0_);_(* \(#,##0\);_(* &quot;-&quot;??_);_(@_)">
                  <c:v>389257.375</c:v>
                </c:pt>
                <c:pt idx="24" formatCode="_(* #,##0_);_(* \(#,##0\);_(* &quot;-&quot;??_);_(@_)">
                  <c:v>407588.75</c:v>
                </c:pt>
                <c:pt idx="25" formatCode="_(* #,##0_);_(* \(#,##0\);_(* &quot;-&quot;??_);_(@_)">
                  <c:v>430431.25</c:v>
                </c:pt>
                <c:pt idx="26" formatCode="_(* #,##0_);_(* \(#,##0\);_(* &quot;-&quot;??_);_(@_)">
                  <c:v>455049.25</c:v>
                </c:pt>
                <c:pt idx="27" formatCode="_(* #,##0_);_(* \(#,##0\);_(* &quot;-&quot;??_);_(@_)">
                  <c:v>476950.25</c:v>
                </c:pt>
                <c:pt idx="28" formatCode="_(* #,##0_);_(* \(#,##0\);_(* &quot;-&quot;??_);_(@_)">
                  <c:v>499411.375</c:v>
                </c:pt>
                <c:pt idx="29" formatCode="_(* #,##0_);_(* \(#,##0\);_(* &quot;-&quot;??_);_(@_)">
                  <c:v>533023.5</c:v>
                </c:pt>
                <c:pt idx="30" formatCode="_(* #,##0_);_(* \(#,##0\);_(* &quot;-&quot;??_);_(@_)">
                  <c:v>568640.75</c:v>
                </c:pt>
                <c:pt idx="31" formatCode="_(* #,##0_);_(* \(#,##0\);_(* &quot;-&quot;??_);_(@_)">
                  <c:v>597131.875</c:v>
                </c:pt>
                <c:pt idx="32" formatCode="_(* #,##0_);_(* \(#,##0\);_(* &quot;-&quot;??_);_(@_)">
                  <c:v>626188.875</c:v>
                </c:pt>
                <c:pt idx="33" formatCode="_(* #,##0_);_(* \(#,##0\);_(* &quot;-&quot;??_);_(@_)">
                  <c:v>653987.375</c:v>
                </c:pt>
                <c:pt idx="34" formatCode="_(* #,##0_);_(* \(#,##0\);_(* &quot;-&quot;??_);_(@_)">
                  <c:v>684025.5</c:v>
                </c:pt>
                <c:pt idx="35" formatCode="_(* #,##0_);_(* \(#,##0\);_(* &quot;-&quot;??_);_(@_)">
                  <c:v>717062.5</c:v>
                </c:pt>
                <c:pt idx="36" formatCode="_(* #,##0_);_(* \(#,##0\);_(* &quot;-&quot;??_);_(@_)">
                  <c:v>749584.875</c:v>
                </c:pt>
                <c:pt idx="37" formatCode="_(* #,##0_);_(* \(#,##0\);_(* &quot;-&quot;??_);_(@_)">
                  <c:v>787897.375</c:v>
                </c:pt>
                <c:pt idx="38" formatCode="_(* #,##0_);_(* \(#,##0\);_(* &quot;-&quot;??_);_(@_)">
                  <c:v>829636.25</c:v>
                </c:pt>
                <c:pt idx="39" formatCode="_(* #,##0_);_(* \(#,##0\);_(* &quot;-&quot;??_);_(@_)">
                  <c:v>866775.625</c:v>
                </c:pt>
                <c:pt idx="40" formatCode="_(* #,##0_);_(* \(#,##0\);_(* &quot;-&quot;??_);_(@_)">
                  <c:v>905243.25</c:v>
                </c:pt>
                <c:pt idx="41" formatCode="_(* #,##0_);_(* \(#,##0\);_(* &quot;-&quot;??_);_(@_)">
                  <c:v>953447.25</c:v>
                </c:pt>
                <c:pt idx="42" formatCode="_(* #,##0_);_(* \(#,##0\);_(* &quot;-&quot;??_);_(@_)">
                  <c:v>1006728.25</c:v>
                </c:pt>
                <c:pt idx="43" formatCode="_(* #,##0_);_(* \(#,##0\);_(* &quot;-&quot;??_);_(@_)">
                  <c:v>1056454.5</c:v>
                </c:pt>
                <c:pt idx="44" formatCode="_(* #,##0_);_(* \(#,##0\);_(* &quot;-&quot;??_);_(@_)">
                  <c:v>1108048</c:v>
                </c:pt>
                <c:pt idx="45" formatCode="_(* #,##0_);_(* \(#,##0\);_(* &quot;-&quot;??_);_(@_)">
                  <c:v>1174649.375</c:v>
                </c:pt>
                <c:pt idx="46" formatCode="_(* #,##0_);_(* \(#,##0\);_(* &quot;-&quot;??_);_(@_)">
                  <c:v>1243829.625</c:v>
                </c:pt>
                <c:pt idx="47" formatCode="_(* #,##0_);_(* \(#,##0\);_(* &quot;-&quot;??_);_(@_)">
                  <c:v>1301554.875</c:v>
                </c:pt>
                <c:pt idx="48" formatCode="_(* #,##0_);_(* \(#,##0\);_(* &quot;-&quot;??_);_(@_)">
                  <c:v>1355503.375</c:v>
                </c:pt>
                <c:pt idx="49" formatCode="_(* #,##0_);_(* \(#,##0\);_(* &quot;-&quot;??_);_(@_)">
                  <c:v>1426499.25</c:v>
                </c:pt>
                <c:pt idx="50" formatCode="_(* #,##0_);_(* \(#,##0\);_(* &quot;-&quot;??_);_(@_)">
                  <c:v>1499725</c:v>
                </c:pt>
                <c:pt idx="51" formatCode="_(* #,##0_);_(* \(#,##0\);_(* &quot;-&quot;??_);_(@_)">
                  <c:v>1553119.375</c:v>
                </c:pt>
                <c:pt idx="52" formatCode="_(* #,##0_);_(* \(#,##0\);_(* &quot;-&quot;??_);_(@_)">
                  <c:v>1605144</c:v>
                </c:pt>
                <c:pt idx="53" formatCode="_(* #,##0_);_(* \(#,##0\);_(* &quot;-&quot;??_);_(@_)">
                  <c:v>1655763.25</c:v>
                </c:pt>
                <c:pt idx="54" formatCode="_(* #,##0_);_(* \(#,##0\);_(* &quot;-&quot;??_);_(@_)">
                  <c:v>1704074</c:v>
                </c:pt>
                <c:pt idx="55" formatCode="_(* #,##0_);_(* \(#,##0\);_(* &quot;-&quot;??_);_(@_)">
                  <c:v>1751292.5</c:v>
                </c:pt>
                <c:pt idx="56" formatCode="_(* #,##0_);_(* \(#,##0\);_(* &quot;-&quot;??_);_(@_)">
                  <c:v>1788903.625</c:v>
                </c:pt>
                <c:pt idx="57" formatCode="_(* #,##0_);_(* \(#,##0\);_(* &quot;-&quot;??_);_(@_)">
                  <c:v>1826866.75</c:v>
                </c:pt>
                <c:pt idx="58" formatCode="_(* #,##0_);_(* \(#,##0\);_(* &quot;-&quot;??_);_(@_)">
                  <c:v>1778289.625</c:v>
                </c:pt>
                <c:pt idx="59" formatCode="_(* #,##0_);_(* \(#,##0\);_(* &quot;-&quot;??_);_(@_)">
                  <c:v>1652237.5</c:v>
                </c:pt>
                <c:pt idx="60" formatCode="_(* #,##0_);_(* \(#,##0\);_(* &quot;-&quot;??_);_(@_)">
                  <c:v>1581102.625</c:v>
                </c:pt>
                <c:pt idx="61" formatCode="_(* #,##0_);_(* \(#,##0\);_(* &quot;-&quot;??_);_(@_)">
                  <c:v>1551390.375</c:v>
                </c:pt>
                <c:pt idx="62" formatCode="_(* #,##0_);_(* \(#,##0\);_(* &quot;-&quot;??_);_(@_)">
                  <c:v>1633651.875</c:v>
                </c:pt>
                <c:pt idx="63" formatCode="_(* #,##0_);_(* \(#,##0\);_(* &quot;-&quot;??_);_(@_)">
                  <c:v>1821715.25</c:v>
                </c:pt>
                <c:pt idx="64" formatCode="_(* #,##0_);_(* \(#,##0\);_(* &quot;-&quot;??_);_(@_)">
                  <c:v>1969582.75</c:v>
                </c:pt>
                <c:pt idx="65" formatCode="_(* #,##0_);_(* \(#,##0\);_(* &quot;-&quot;??_);_(@_)">
                  <c:v>2091386.375</c:v>
                </c:pt>
                <c:pt idx="66" formatCode="_(* #,##0_);_(* \(#,##0\);_(* &quot;-&quot;??_);_(@_)">
                  <c:v>2208645</c:v>
                </c:pt>
                <c:pt idx="67" formatCode="_(* #,##0_);_(* \(#,##0\);_(* &quot;-&quot;??_);_(@_)">
                  <c:v>2300806</c:v>
                </c:pt>
                <c:pt idx="68" formatCode="_(* #,##0_);_(* \(#,##0\);_(* &quot;-&quot;??_);_(@_)">
                  <c:v>2384921.5</c:v>
                </c:pt>
                <c:pt idx="69" formatCode="_(* #,##0_);_(* \(#,##0\);_(* &quot;-&quot;??_);_(@_)">
                  <c:v>2489971.875</c:v>
                </c:pt>
                <c:pt idx="70" formatCode="_(* #,##0_);_(* \(#,##0\);_(* &quot;-&quot;??_);_(@_)">
                  <c:v>2588190.25</c:v>
                </c:pt>
                <c:pt idx="71" formatCode="_(* #,##0_);_(* \(#,##0\);_(* &quot;-&quot;??_);_(@_)">
                  <c:v>2653322.5</c:v>
                </c:pt>
                <c:pt idx="72" formatCode="_(* #,##0_);_(* \(#,##0\);_(* &quot;-&quot;??_);_(@_)">
                  <c:v>2701177</c:v>
                </c:pt>
                <c:pt idx="73" formatCode="_(* #,##0_);_(* \(#,##0\);_(* &quot;-&quot;??_);_(@_)">
                  <c:v>2760885.125</c:v>
                </c:pt>
                <c:pt idx="74" formatCode="_(* #,##0_);_(* \(#,##0\);_(* &quot;-&quot;??_);_(@_)">
                  <c:v>2813273.875</c:v>
                </c:pt>
                <c:pt idx="75" formatCode="_(* #,##0_);_(* \(#,##0\);_(* &quot;-&quot;??_);_(@_)">
                  <c:v>2827506.75</c:v>
                </c:pt>
                <c:pt idx="76" formatCode="_(* #,##0_);_(* \(#,##0\);_(* &quot;-&quot;??_);_(@_)">
                  <c:v>2835437.375</c:v>
                </c:pt>
                <c:pt idx="77" formatCode="_(* #,##0_);_(* \(#,##0\);_(* &quot;-&quot;??_);_(@_)">
                  <c:v>2832248.375</c:v>
                </c:pt>
                <c:pt idx="78" formatCode="_(* #,##0_);_(* \(#,##0\);_(* &quot;-&quot;??_);_(@_)">
                  <c:v>2839228.375</c:v>
                </c:pt>
                <c:pt idx="79" formatCode="_(* #,##0_);_(* \(#,##0\);_(* &quot;-&quot;??_);_(@_)">
                  <c:v>2884479.2250000001</c:v>
                </c:pt>
                <c:pt idx="80" formatCode="_(* #,##0_);_(* \(#,##0\);_(* &quot;-&quot;??_);_(@_)">
                  <c:v>2941056.3557672831</c:v>
                </c:pt>
                <c:pt idx="81" formatCode="_(* #,##0_);_(* \(#,##0\);_(* &quot;-&quot;??_);_(@_)">
                  <c:v>2941056.3557672831</c:v>
                </c:pt>
                <c:pt idx="82" formatCode="_(* #,##0_);_(* \(#,##0\);_(* &quot;-&quot;??_);_(@_)">
                  <c:v>2903741.5490187206</c:v>
                </c:pt>
                <c:pt idx="83" formatCode="_(* #,##0_);_(* \(#,##0\);_(* &quot;-&quot;??_);_(@_)">
                  <c:v>2840106.3404811695</c:v>
                </c:pt>
                <c:pt idx="84" formatCode="_(* #,##0_);_(* \(#,##0\);_(* &quot;-&quot;??_);_(@_)">
                  <c:v>2845675.1184607465</c:v>
                </c:pt>
                <c:pt idx="85" formatCode="_(* #,##0_);_(* \(#,##0\);_(* &quot;-&quot;??_);_(@_)">
                  <c:v>2869588.7707026843</c:v>
                </c:pt>
                <c:pt idx="86" formatCode="_(* #,##0_);_(* \(#,##0\);_(* &quot;-&quot;??_);_(@_)">
                  <c:v>2906920.0271839942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79-498B-AEB9-42C6E3EB0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2110528"/>
        <c:axId val="792111968"/>
      </c:lineChart>
      <c:dateAx>
        <c:axId val="79211052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111968"/>
        <c:crosses val="autoZero"/>
        <c:auto val="1"/>
        <c:lblOffset val="100"/>
        <c:baseTimeUnit val="months"/>
      </c:dateAx>
      <c:valAx>
        <c:axId val="79211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11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'ULTA Forecast Factors'!$E$4</c:f>
              <c:strCache>
                <c:ptCount val="1"/>
                <c:pt idx="0">
                  <c:v>Trend CMA4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val>
            <c:numRef>
              <c:f>'ULTA Forecast Factors'!$E$7:$E$87</c:f>
              <c:numCache>
                <c:formatCode>_(* #,##0_);_(* \(#,##0\);_(* "-"??_);_(@_)</c:formatCode>
                <c:ptCount val="81"/>
                <c:pt idx="0">
                  <c:v>146606.125</c:v>
                </c:pt>
                <c:pt idx="1">
                  <c:v>150667.125</c:v>
                </c:pt>
                <c:pt idx="2">
                  <c:v>161862.625</c:v>
                </c:pt>
                <c:pt idx="3">
                  <c:v>179806.375</c:v>
                </c:pt>
                <c:pt idx="4">
                  <c:v>193108.875</c:v>
                </c:pt>
                <c:pt idx="5">
                  <c:v>202175.875</c:v>
                </c:pt>
                <c:pt idx="6">
                  <c:v>205873.625</c:v>
                </c:pt>
                <c:pt idx="7">
                  <c:v>216435.125</c:v>
                </c:pt>
                <c:pt idx="8">
                  <c:v>233683.375</c:v>
                </c:pt>
                <c:pt idx="9">
                  <c:v>245414.25</c:v>
                </c:pt>
                <c:pt idx="10">
                  <c:v>257323</c:v>
                </c:pt>
                <c:pt idx="11">
                  <c:v>267155.25</c:v>
                </c:pt>
                <c:pt idx="12">
                  <c:v>274852.375</c:v>
                </c:pt>
                <c:pt idx="13">
                  <c:v>281596.75</c:v>
                </c:pt>
                <c:pt idx="14">
                  <c:v>288300.25</c:v>
                </c:pt>
                <c:pt idx="15">
                  <c:v>298821.5</c:v>
                </c:pt>
                <c:pt idx="16">
                  <c:v>312114.125</c:v>
                </c:pt>
                <c:pt idx="17">
                  <c:v>324568.625</c:v>
                </c:pt>
                <c:pt idx="18">
                  <c:v>337493.75</c:v>
                </c:pt>
                <c:pt idx="19">
                  <c:v>354047.625</c:v>
                </c:pt>
                <c:pt idx="20">
                  <c:v>371935.75</c:v>
                </c:pt>
                <c:pt idx="21">
                  <c:v>389257.375</c:v>
                </c:pt>
                <c:pt idx="22">
                  <c:v>407588.75</c:v>
                </c:pt>
                <c:pt idx="23">
                  <c:v>430431.25</c:v>
                </c:pt>
                <c:pt idx="24">
                  <c:v>455049.25</c:v>
                </c:pt>
                <c:pt idx="25">
                  <c:v>476950.25</c:v>
                </c:pt>
                <c:pt idx="26">
                  <c:v>499411.375</c:v>
                </c:pt>
                <c:pt idx="27">
                  <c:v>533023.5</c:v>
                </c:pt>
                <c:pt idx="28">
                  <c:v>568640.75</c:v>
                </c:pt>
                <c:pt idx="29">
                  <c:v>597131.875</c:v>
                </c:pt>
                <c:pt idx="30">
                  <c:v>626188.875</c:v>
                </c:pt>
                <c:pt idx="31">
                  <c:v>653987.375</c:v>
                </c:pt>
                <c:pt idx="32">
                  <c:v>684025.5</c:v>
                </c:pt>
                <c:pt idx="33">
                  <c:v>717062.5</c:v>
                </c:pt>
                <c:pt idx="34">
                  <c:v>749584.875</c:v>
                </c:pt>
                <c:pt idx="35">
                  <c:v>787897.375</c:v>
                </c:pt>
                <c:pt idx="36">
                  <c:v>829636.25</c:v>
                </c:pt>
                <c:pt idx="37">
                  <c:v>866775.625</c:v>
                </c:pt>
                <c:pt idx="38">
                  <c:v>905243.25</c:v>
                </c:pt>
                <c:pt idx="39">
                  <c:v>953447.25</c:v>
                </c:pt>
                <c:pt idx="40">
                  <c:v>1006728.25</c:v>
                </c:pt>
                <c:pt idx="41">
                  <c:v>1056454.5</c:v>
                </c:pt>
                <c:pt idx="42">
                  <c:v>1108048</c:v>
                </c:pt>
                <c:pt idx="43">
                  <c:v>1174649.375</c:v>
                </c:pt>
                <c:pt idx="44">
                  <c:v>1243829.625</c:v>
                </c:pt>
                <c:pt idx="45">
                  <c:v>1301554.875</c:v>
                </c:pt>
                <c:pt idx="46">
                  <c:v>1355503.375</c:v>
                </c:pt>
                <c:pt idx="47">
                  <c:v>1426499.25</c:v>
                </c:pt>
                <c:pt idx="48">
                  <c:v>1499725</c:v>
                </c:pt>
                <c:pt idx="49">
                  <c:v>1553119.375</c:v>
                </c:pt>
                <c:pt idx="50">
                  <c:v>1605144</c:v>
                </c:pt>
                <c:pt idx="51">
                  <c:v>1655763.25</c:v>
                </c:pt>
                <c:pt idx="52">
                  <c:v>1704074</c:v>
                </c:pt>
                <c:pt idx="53">
                  <c:v>1751292.5</c:v>
                </c:pt>
                <c:pt idx="54">
                  <c:v>1788903.625</c:v>
                </c:pt>
                <c:pt idx="55">
                  <c:v>1826866.75</c:v>
                </c:pt>
                <c:pt idx="56">
                  <c:v>1778289.625</c:v>
                </c:pt>
                <c:pt idx="57">
                  <c:v>1652237.5</c:v>
                </c:pt>
                <c:pt idx="58">
                  <c:v>1581102.625</c:v>
                </c:pt>
                <c:pt idx="59">
                  <c:v>1551390.375</c:v>
                </c:pt>
                <c:pt idx="60">
                  <c:v>1633651.875</c:v>
                </c:pt>
                <c:pt idx="61">
                  <c:v>1821715.25</c:v>
                </c:pt>
                <c:pt idx="62">
                  <c:v>1969582.75</c:v>
                </c:pt>
                <c:pt idx="63">
                  <c:v>2091386.375</c:v>
                </c:pt>
                <c:pt idx="64">
                  <c:v>2208645</c:v>
                </c:pt>
                <c:pt idx="65">
                  <c:v>2300806</c:v>
                </c:pt>
                <c:pt idx="66">
                  <c:v>2384921.5</c:v>
                </c:pt>
                <c:pt idx="67">
                  <c:v>2489971.875</c:v>
                </c:pt>
                <c:pt idx="68">
                  <c:v>2588190.25</c:v>
                </c:pt>
                <c:pt idx="69">
                  <c:v>2653322.5</c:v>
                </c:pt>
                <c:pt idx="70">
                  <c:v>2701177</c:v>
                </c:pt>
                <c:pt idx="71">
                  <c:v>2760885.125</c:v>
                </c:pt>
                <c:pt idx="72">
                  <c:v>2813273.875</c:v>
                </c:pt>
                <c:pt idx="73">
                  <c:v>2827506.75</c:v>
                </c:pt>
                <c:pt idx="74">
                  <c:v>2835437.375</c:v>
                </c:pt>
                <c:pt idx="75">
                  <c:v>2832248.375</c:v>
                </c:pt>
                <c:pt idx="76">
                  <c:v>2839228.375</c:v>
                </c:pt>
                <c:pt idx="77">
                  <c:v>2878489.4249999998</c:v>
                </c:pt>
                <c:pt idx="78">
                  <c:v>2954579.125</c:v>
                </c:pt>
                <c:pt idx="79">
                  <c:v>2913502.916666667</c:v>
                </c:pt>
                <c:pt idx="80">
                  <c:v>2827266.166666667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9-4504-9E30-DEF2AB14A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531223152"/>
        <c:axId val="1416916111"/>
      </c:lineChart>
      <c:catAx>
        <c:axId val="531223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416916111"/>
        <c:crosses val="autoZero"/>
        <c:auto val="1"/>
        <c:lblAlgn val="ctr"/>
        <c:lblOffset val="100"/>
        <c:noMultiLvlLbl val="0"/>
      </c:catAx>
      <c:valAx>
        <c:axId val="1416916111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22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IRREGULARITY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val>
            <c:numRef>
              <c:f>'ULTA Forecast Factors'!$H$7:$H$87</c:f>
              <c:numCache>
                <c:formatCode>_(* #,##0.000_);_(* \(#,##0.000\);_(* "-"??_);_(@_)</c:formatCode>
                <c:ptCount val="81"/>
                <c:pt idx="0">
                  <c:v>1.058709751527499</c:v>
                </c:pt>
                <c:pt idx="1">
                  <c:v>0.79466543359949016</c:v>
                </c:pt>
                <c:pt idx="2">
                  <c:v>1.0399880033335689</c:v>
                </c:pt>
                <c:pt idx="3">
                  <c:v>0.99256459421802246</c:v>
                </c:pt>
                <c:pt idx="4">
                  <c:v>1.2022571670302498</c:v>
                </c:pt>
                <c:pt idx="5">
                  <c:v>0.88581915441272285</c:v>
                </c:pt>
                <c:pt idx="6">
                  <c:v>0.9953029044197248</c:v>
                </c:pt>
                <c:pt idx="7">
                  <c:v>1.016790940915016</c:v>
                </c:pt>
                <c:pt idx="8">
                  <c:v>0.95538708149405771</c:v>
                </c:pt>
                <c:pt idx="9">
                  <c:v>1.0424906525046491</c:v>
                </c:pt>
                <c:pt idx="10">
                  <c:v>0.98166164837223735</c:v>
                </c:pt>
                <c:pt idx="11">
                  <c:v>1.0237283009192351</c:v>
                </c:pt>
                <c:pt idx="12">
                  <c:v>0.99409220545672183</c:v>
                </c:pt>
                <c:pt idx="13">
                  <c:v>1.0026710945190802</c:v>
                </c:pt>
                <c:pt idx="14">
                  <c:v>0.98429662698249343</c:v>
                </c:pt>
                <c:pt idx="15">
                  <c:v>1.0049927550936428</c:v>
                </c:pt>
                <c:pt idx="16">
                  <c:v>0.97571756013578703</c:v>
                </c:pt>
                <c:pt idx="17">
                  <c:v>1.0099919585479209</c:v>
                </c:pt>
                <c:pt idx="18">
                  <c:v>1.0015013268823563</c:v>
                </c:pt>
                <c:pt idx="19">
                  <c:v>0.99789597325600654</c:v>
                </c:pt>
                <c:pt idx="20">
                  <c:v>0.97771996803317729</c:v>
                </c:pt>
                <c:pt idx="21">
                  <c:v>1.006373502157794</c:v>
                </c:pt>
                <c:pt idx="22">
                  <c:v>0.99970813995431385</c:v>
                </c:pt>
                <c:pt idx="23">
                  <c:v>1.0064042984948061</c:v>
                </c:pt>
                <c:pt idx="24">
                  <c:v>0.97323014251835516</c:v>
                </c:pt>
                <c:pt idx="25">
                  <c:v>1.0100928553559207</c:v>
                </c:pt>
                <c:pt idx="26">
                  <c:v>1.0020999826906443</c:v>
                </c:pt>
                <c:pt idx="27">
                  <c:v>0.99213433570446041</c:v>
                </c:pt>
                <c:pt idx="28">
                  <c:v>0.95335993650747919</c:v>
                </c:pt>
                <c:pt idx="29">
                  <c:v>1.0510112104610039</c:v>
                </c:pt>
                <c:pt idx="30">
                  <c:v>0.98231318995038597</c:v>
                </c:pt>
                <c:pt idx="31">
                  <c:v>1.0089256883580533</c:v>
                </c:pt>
                <c:pt idx="32">
                  <c:v>0.9698802851084708</c:v>
                </c:pt>
                <c:pt idx="33">
                  <c:v>1.0012303118951364</c:v>
                </c:pt>
                <c:pt idx="34">
                  <c:v>1.0051684231046603</c:v>
                </c:pt>
                <c:pt idx="35">
                  <c:v>1.0231081361505345</c:v>
                </c:pt>
                <c:pt idx="36">
                  <c:v>0.96370184305764528</c:v>
                </c:pt>
                <c:pt idx="37">
                  <c:v>0.99962255259766153</c:v>
                </c:pt>
                <c:pt idx="38">
                  <c:v>1.0123176955540312</c:v>
                </c:pt>
                <c:pt idx="39">
                  <c:v>1.0098525006318124</c:v>
                </c:pt>
                <c:pt idx="40">
                  <c:v>0.96987671909685691</c:v>
                </c:pt>
                <c:pt idx="41">
                  <c:v>0.99288678887910964</c:v>
                </c:pt>
                <c:pt idx="42">
                  <c:v>1.0228977233029179</c:v>
                </c:pt>
                <c:pt idx="43">
                  <c:v>0.99933778502012616</c:v>
                </c:pt>
                <c:pt idx="44">
                  <c:v>0.97508895937427065</c:v>
                </c:pt>
                <c:pt idx="45">
                  <c:v>1.0043442547823156</c:v>
                </c:pt>
                <c:pt idx="46">
                  <c:v>1.0239683835749573</c:v>
                </c:pt>
                <c:pt idx="47">
                  <c:v>0.99271486406133658</c:v>
                </c:pt>
                <c:pt idx="48">
                  <c:v>0.95951752045884042</c:v>
                </c:pt>
                <c:pt idx="49">
                  <c:v>1.0317815181421994</c:v>
                </c:pt>
                <c:pt idx="50">
                  <c:v>1.0151751578657544</c:v>
                </c:pt>
                <c:pt idx="51">
                  <c:v>0.98678992536779309</c:v>
                </c:pt>
                <c:pt idx="52">
                  <c:v>1.0050663386382273</c:v>
                </c:pt>
                <c:pt idx="53">
                  <c:v>1.0033961946731496</c:v>
                </c:pt>
                <c:pt idx="54">
                  <c:v>1.0285348939143089</c:v>
                </c:pt>
                <c:pt idx="55">
                  <c:v>1.0015712453782146</c:v>
                </c:pt>
                <c:pt idx="56">
                  <c:v>1.03875160886111</c:v>
                </c:pt>
                <c:pt idx="57">
                  <c:v>1.1542546522108461</c:v>
                </c:pt>
                <c:pt idx="58">
                  <c:v>0.78328003641951394</c:v>
                </c:pt>
                <c:pt idx="59">
                  <c:v>0.86903241215526306</c:v>
                </c:pt>
                <c:pt idx="60">
                  <c:v>1.0185794015552421</c:v>
                </c:pt>
                <c:pt idx="61">
                  <c:v>0.99819623884334852</c:v>
                </c:pt>
                <c:pt idx="62">
                  <c:v>1.0389560859499714</c:v>
                </c:pt>
                <c:pt idx="63">
                  <c:v>1.0326931690140839</c:v>
                </c:pt>
                <c:pt idx="64">
                  <c:v>0.96881112090195598</c:v>
                </c:pt>
                <c:pt idx="65">
                  <c:v>0.98110508281866793</c:v>
                </c:pt>
                <c:pt idx="66">
                  <c:v>1.0383337080438324</c:v>
                </c:pt>
                <c:pt idx="67">
                  <c:v>1.0128460424910648</c:v>
                </c:pt>
                <c:pt idx="68">
                  <c:v>0.9688332655252414</c:v>
                </c:pt>
                <c:pt idx="69">
                  <c:v>1.0057930344552186</c:v>
                </c:pt>
                <c:pt idx="70">
                  <c:v>1.0294551965077265</c:v>
                </c:pt>
                <c:pt idx="71">
                  <c:v>1.0059928961198112</c:v>
                </c:pt>
                <c:pt idx="72">
                  <c:v>0.94853780836903134</c:v>
                </c:pt>
                <c:pt idx="73">
                  <c:v>1.0396339084995556</c:v>
                </c:pt>
                <c:pt idx="74">
                  <c:v>1.0148057902567107</c:v>
                </c:pt>
                <c:pt idx="75">
                  <c:v>0.98928097351465871</c:v>
                </c:pt>
                <c:pt idx="76">
                  <c:v>0.95541226821718284</c:v>
                </c:pt>
                <c:pt idx="77">
                  <c:v>1.002062121340962</c:v>
                </c:pt>
                <c:pt idx="78">
                  <c:v>1.0176576036166498</c:v>
                </c:pt>
                <c:pt idx="79">
                  <c:v>1.0507656838328161</c:v>
                </c:pt>
                <c:pt idx="80">
                  <c:v>1.0836566246883155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84-47D9-A7C2-08FDAFEBC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259096815"/>
        <c:axId val="1259095375"/>
      </c:lineChart>
      <c:catAx>
        <c:axId val="1259096815"/>
        <c:scaling>
          <c:orientation val="minMax"/>
        </c:scaling>
        <c:delete val="1"/>
        <c:axPos val="b"/>
        <c:majorTickMark val="none"/>
        <c:minorTickMark val="none"/>
        <c:tickLblPos val="nextTo"/>
        <c:crossAx val="1259095375"/>
        <c:crosses val="autoZero"/>
        <c:auto val="1"/>
        <c:lblAlgn val="ctr"/>
        <c:lblOffset val="100"/>
        <c:noMultiLvlLbl val="0"/>
      </c:catAx>
      <c:valAx>
        <c:axId val="1259095375"/>
        <c:scaling>
          <c:orientation val="minMax"/>
        </c:scaling>
        <c:delete val="0"/>
        <c:axPos val="l"/>
        <c:numFmt formatCode="_(* #,##0.000_);_(* \(#,##0.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09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SEASONALITY</a:t>
            </a:r>
          </a:p>
        </c:rich>
      </c:tx>
      <c:layout>
        <c:manualLayout>
          <c:xMode val="edge"/>
          <c:yMode val="edge"/>
          <c:x val="0.4150485564304462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val>
            <c:numRef>
              <c:f>'ULTA Forecast Factors'!$G$7:$G$87</c:f>
              <c:numCache>
                <c:formatCode>_(* #,##0.000_);_(* \(#,##0.000\);_(* "-"??_);_(@_)</c:formatCode>
                <c:ptCount val="81"/>
                <c:pt idx="0">
                  <c:v>0.9327098137094193</c:v>
                </c:pt>
                <c:pt idx="1">
                  <c:v>1.2091209633221747</c:v>
                </c:pt>
                <c:pt idx="2">
                  <c:v>0.94732421495752306</c:v>
                </c:pt>
                <c:pt idx="3">
                  <c:v>0.91084500801088319</c:v>
                </c:pt>
                <c:pt idx="4">
                  <c:v>0.9327098137094193</c:v>
                </c:pt>
                <c:pt idx="5">
                  <c:v>1.2091209633221747</c:v>
                </c:pt>
                <c:pt idx="6">
                  <c:v>0.94732421495752306</c:v>
                </c:pt>
                <c:pt idx="7">
                  <c:v>0.91084500801088319</c:v>
                </c:pt>
                <c:pt idx="8">
                  <c:v>0.9327098137094193</c:v>
                </c:pt>
                <c:pt idx="9">
                  <c:v>1.2091209633221747</c:v>
                </c:pt>
                <c:pt idx="10">
                  <c:v>0.94732421495752306</c:v>
                </c:pt>
                <c:pt idx="11">
                  <c:v>0.91084500801088319</c:v>
                </c:pt>
                <c:pt idx="12">
                  <c:v>0.9327098137094193</c:v>
                </c:pt>
                <c:pt idx="13">
                  <c:v>1.2091209633221747</c:v>
                </c:pt>
                <c:pt idx="14">
                  <c:v>0.94732421495752306</c:v>
                </c:pt>
                <c:pt idx="15">
                  <c:v>0.91084500801088319</c:v>
                </c:pt>
                <c:pt idx="16">
                  <c:v>0.9327098137094193</c:v>
                </c:pt>
                <c:pt idx="17">
                  <c:v>1.2091209633221747</c:v>
                </c:pt>
                <c:pt idx="18">
                  <c:v>0.94732421495752306</c:v>
                </c:pt>
                <c:pt idx="19">
                  <c:v>0.91084500801088319</c:v>
                </c:pt>
                <c:pt idx="20">
                  <c:v>0.9327098137094193</c:v>
                </c:pt>
                <c:pt idx="21">
                  <c:v>1.2091209633221747</c:v>
                </c:pt>
                <c:pt idx="22">
                  <c:v>0.94732421495752306</c:v>
                </c:pt>
                <c:pt idx="23">
                  <c:v>0.91084500801088319</c:v>
                </c:pt>
                <c:pt idx="24">
                  <c:v>0.9327098137094193</c:v>
                </c:pt>
                <c:pt idx="25">
                  <c:v>1.2091209633221747</c:v>
                </c:pt>
                <c:pt idx="26">
                  <c:v>0.94732421495752306</c:v>
                </c:pt>
                <c:pt idx="27">
                  <c:v>0.91084500801088319</c:v>
                </c:pt>
                <c:pt idx="28">
                  <c:v>0.9327098137094193</c:v>
                </c:pt>
                <c:pt idx="29">
                  <c:v>1.2091209633221747</c:v>
                </c:pt>
                <c:pt idx="30">
                  <c:v>0.94732421495752306</c:v>
                </c:pt>
                <c:pt idx="31">
                  <c:v>0.91084500801088319</c:v>
                </c:pt>
                <c:pt idx="32">
                  <c:v>0.9327098137094193</c:v>
                </c:pt>
                <c:pt idx="33">
                  <c:v>1.2091209633221747</c:v>
                </c:pt>
                <c:pt idx="34">
                  <c:v>0.94732421495752306</c:v>
                </c:pt>
                <c:pt idx="35">
                  <c:v>0.91084500801088319</c:v>
                </c:pt>
                <c:pt idx="36">
                  <c:v>0.9327098137094193</c:v>
                </c:pt>
                <c:pt idx="37">
                  <c:v>1.2091209633221747</c:v>
                </c:pt>
                <c:pt idx="38">
                  <c:v>0.94732421495752306</c:v>
                </c:pt>
                <c:pt idx="39">
                  <c:v>0.91084500801088319</c:v>
                </c:pt>
                <c:pt idx="40">
                  <c:v>0.9327098137094193</c:v>
                </c:pt>
                <c:pt idx="41">
                  <c:v>1.2091209633221747</c:v>
                </c:pt>
                <c:pt idx="42">
                  <c:v>0.94732421495752306</c:v>
                </c:pt>
                <c:pt idx="43">
                  <c:v>0.91084500801088319</c:v>
                </c:pt>
                <c:pt idx="44">
                  <c:v>0.9327098137094193</c:v>
                </c:pt>
                <c:pt idx="45">
                  <c:v>1.2091209633221747</c:v>
                </c:pt>
                <c:pt idx="46">
                  <c:v>0.94732421495752306</c:v>
                </c:pt>
                <c:pt idx="47">
                  <c:v>0.91084500801088319</c:v>
                </c:pt>
                <c:pt idx="48">
                  <c:v>0.9327098137094193</c:v>
                </c:pt>
                <c:pt idx="49">
                  <c:v>1.2091209633221747</c:v>
                </c:pt>
                <c:pt idx="50">
                  <c:v>0.94732421495752306</c:v>
                </c:pt>
                <c:pt idx="51">
                  <c:v>0.91084500801088319</c:v>
                </c:pt>
                <c:pt idx="52">
                  <c:v>0.91084500801088319</c:v>
                </c:pt>
                <c:pt idx="53">
                  <c:v>1.2091209633221747</c:v>
                </c:pt>
                <c:pt idx="54">
                  <c:v>0.94732421495752306</c:v>
                </c:pt>
                <c:pt idx="55">
                  <c:v>0.91084500801088319</c:v>
                </c:pt>
                <c:pt idx="56">
                  <c:v>0.91084500801088319</c:v>
                </c:pt>
                <c:pt idx="57">
                  <c:v>1.2091209633221747</c:v>
                </c:pt>
                <c:pt idx="58">
                  <c:v>0.94732421495752306</c:v>
                </c:pt>
                <c:pt idx="59">
                  <c:v>0.91084500801088319</c:v>
                </c:pt>
                <c:pt idx="60">
                  <c:v>0.9327098137094193</c:v>
                </c:pt>
                <c:pt idx="61">
                  <c:v>1.2091209633221747</c:v>
                </c:pt>
                <c:pt idx="62">
                  <c:v>0.94732421495752306</c:v>
                </c:pt>
                <c:pt idx="63">
                  <c:v>0.91084500801088319</c:v>
                </c:pt>
                <c:pt idx="64">
                  <c:v>0.9327098137094193</c:v>
                </c:pt>
                <c:pt idx="65">
                  <c:v>1.2091209633221747</c:v>
                </c:pt>
                <c:pt idx="66">
                  <c:v>0.94732421495752306</c:v>
                </c:pt>
                <c:pt idx="67">
                  <c:v>0.91084500801088319</c:v>
                </c:pt>
                <c:pt idx="68">
                  <c:v>0.9327098137094193</c:v>
                </c:pt>
                <c:pt idx="69">
                  <c:v>1.2091209633221747</c:v>
                </c:pt>
                <c:pt idx="70">
                  <c:v>0.94732421495752306</c:v>
                </c:pt>
                <c:pt idx="71">
                  <c:v>0.91084500801088319</c:v>
                </c:pt>
                <c:pt idx="72">
                  <c:v>0.9327098137094193</c:v>
                </c:pt>
                <c:pt idx="73">
                  <c:v>1.2091209633221747</c:v>
                </c:pt>
                <c:pt idx="74">
                  <c:v>0.94732421495752306</c:v>
                </c:pt>
                <c:pt idx="75">
                  <c:v>0.91084500801088319</c:v>
                </c:pt>
                <c:pt idx="76">
                  <c:v>0.9327098137094193</c:v>
                </c:pt>
                <c:pt idx="77">
                  <c:v>1.2091209633221747</c:v>
                </c:pt>
                <c:pt idx="78">
                  <c:v>0.94732421495752306</c:v>
                </c:pt>
                <c:pt idx="79">
                  <c:v>0.91084500801088319</c:v>
                </c:pt>
                <c:pt idx="80">
                  <c:v>0.9327098137094193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7-4D6E-978F-9C7161E8C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44691551"/>
        <c:axId val="1044692511"/>
      </c:lineChart>
      <c:catAx>
        <c:axId val="1044691551"/>
        <c:scaling>
          <c:orientation val="minMax"/>
        </c:scaling>
        <c:delete val="1"/>
        <c:axPos val="b"/>
        <c:majorTickMark val="none"/>
        <c:minorTickMark val="none"/>
        <c:tickLblPos val="nextTo"/>
        <c:crossAx val="1044692511"/>
        <c:crosses val="autoZero"/>
        <c:auto val="1"/>
        <c:lblAlgn val="ctr"/>
        <c:lblOffset val="100"/>
        <c:noMultiLvlLbl val="0"/>
      </c:catAx>
      <c:valAx>
        <c:axId val="1044692511"/>
        <c:scaling>
          <c:orientation val="minMax"/>
        </c:scaling>
        <c:delete val="0"/>
        <c:axPos val="l"/>
        <c:numFmt formatCode="_(* #,##0.000_);_(* \(#,##0.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69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ULTA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cat>
            <c:numRef>
              <c:f>'ULTA Forecast Factors'!$B$7:$B$87</c:f>
              <c:numCache>
                <c:formatCode>m/d/yyyy</c:formatCode>
                <c:ptCount val="81"/>
                <c:pt idx="0">
                  <c:v>38656</c:v>
                </c:pt>
                <c:pt idx="1">
                  <c:v>38748</c:v>
                </c:pt>
                <c:pt idx="2">
                  <c:v>38837</c:v>
                </c:pt>
                <c:pt idx="3">
                  <c:v>38929</c:v>
                </c:pt>
                <c:pt idx="4">
                  <c:v>39021</c:v>
                </c:pt>
                <c:pt idx="5">
                  <c:v>39113</c:v>
                </c:pt>
                <c:pt idx="6">
                  <c:v>39202</c:v>
                </c:pt>
                <c:pt idx="7">
                  <c:v>39293</c:v>
                </c:pt>
                <c:pt idx="8">
                  <c:v>39386</c:v>
                </c:pt>
                <c:pt idx="9">
                  <c:v>39478</c:v>
                </c:pt>
                <c:pt idx="10">
                  <c:v>39568</c:v>
                </c:pt>
                <c:pt idx="11">
                  <c:v>39660</c:v>
                </c:pt>
                <c:pt idx="12">
                  <c:v>39752</c:v>
                </c:pt>
                <c:pt idx="13">
                  <c:v>39844</c:v>
                </c:pt>
                <c:pt idx="14">
                  <c:v>39933</c:v>
                </c:pt>
                <c:pt idx="15">
                  <c:v>40025</c:v>
                </c:pt>
                <c:pt idx="16">
                  <c:v>40117</c:v>
                </c:pt>
                <c:pt idx="17">
                  <c:v>40209</c:v>
                </c:pt>
                <c:pt idx="18">
                  <c:v>40298</c:v>
                </c:pt>
                <c:pt idx="19">
                  <c:v>40390</c:v>
                </c:pt>
                <c:pt idx="20">
                  <c:v>40482</c:v>
                </c:pt>
                <c:pt idx="21">
                  <c:v>40574</c:v>
                </c:pt>
                <c:pt idx="22">
                  <c:v>40663</c:v>
                </c:pt>
                <c:pt idx="23">
                  <c:v>40755</c:v>
                </c:pt>
                <c:pt idx="24">
                  <c:v>40847</c:v>
                </c:pt>
                <c:pt idx="25">
                  <c:v>40939</c:v>
                </c:pt>
                <c:pt idx="26">
                  <c:v>41029</c:v>
                </c:pt>
                <c:pt idx="27">
                  <c:v>41121</c:v>
                </c:pt>
                <c:pt idx="28">
                  <c:v>41213</c:v>
                </c:pt>
                <c:pt idx="29">
                  <c:v>41365</c:v>
                </c:pt>
                <c:pt idx="30">
                  <c:v>41435</c:v>
                </c:pt>
                <c:pt idx="31">
                  <c:v>41528</c:v>
                </c:pt>
                <c:pt idx="32">
                  <c:v>41612</c:v>
                </c:pt>
                <c:pt idx="33">
                  <c:v>41728</c:v>
                </c:pt>
                <c:pt idx="34">
                  <c:v>41794</c:v>
                </c:pt>
                <c:pt idx="35">
                  <c:v>41823</c:v>
                </c:pt>
                <c:pt idx="36">
                  <c:v>41976</c:v>
                </c:pt>
                <c:pt idx="37">
                  <c:v>42091</c:v>
                </c:pt>
                <c:pt idx="38">
                  <c:v>42157</c:v>
                </c:pt>
                <c:pt idx="39">
                  <c:v>42241</c:v>
                </c:pt>
                <c:pt idx="40">
                  <c:v>42339</c:v>
                </c:pt>
                <c:pt idx="41">
                  <c:v>42463</c:v>
                </c:pt>
                <c:pt idx="42">
                  <c:v>42522</c:v>
                </c:pt>
                <c:pt idx="43">
                  <c:v>42613</c:v>
                </c:pt>
                <c:pt idx="44">
                  <c:v>42704</c:v>
                </c:pt>
                <c:pt idx="45">
                  <c:v>42827</c:v>
                </c:pt>
                <c:pt idx="46">
                  <c:v>42887</c:v>
                </c:pt>
                <c:pt idx="47">
                  <c:v>42977</c:v>
                </c:pt>
                <c:pt idx="48">
                  <c:v>43075</c:v>
                </c:pt>
                <c:pt idx="49">
                  <c:v>43186</c:v>
                </c:pt>
                <c:pt idx="50">
                  <c:v>43250</c:v>
                </c:pt>
                <c:pt idx="51">
                  <c:v>43341</c:v>
                </c:pt>
                <c:pt idx="52">
                  <c:v>43439</c:v>
                </c:pt>
                <c:pt idx="53">
                  <c:v>43550</c:v>
                </c:pt>
                <c:pt idx="54">
                  <c:v>43613</c:v>
                </c:pt>
                <c:pt idx="55">
                  <c:v>43704</c:v>
                </c:pt>
                <c:pt idx="56">
                  <c:v>43802</c:v>
                </c:pt>
                <c:pt idx="57">
                  <c:v>43915</c:v>
                </c:pt>
                <c:pt idx="58">
                  <c:v>43978</c:v>
                </c:pt>
                <c:pt idx="59">
                  <c:v>44068</c:v>
                </c:pt>
                <c:pt idx="60">
                  <c:v>44167</c:v>
                </c:pt>
                <c:pt idx="61">
                  <c:v>44279</c:v>
                </c:pt>
                <c:pt idx="62">
                  <c:v>44342</c:v>
                </c:pt>
                <c:pt idx="63">
                  <c:v>44433</c:v>
                </c:pt>
                <c:pt idx="64">
                  <c:v>44531</c:v>
                </c:pt>
                <c:pt idx="65">
                  <c:v>44646</c:v>
                </c:pt>
                <c:pt idx="66">
                  <c:v>44706</c:v>
                </c:pt>
                <c:pt idx="67">
                  <c:v>44797</c:v>
                </c:pt>
                <c:pt idx="68">
                  <c:v>44895</c:v>
                </c:pt>
                <c:pt idx="69">
                  <c:v>45012</c:v>
                </c:pt>
                <c:pt idx="70">
                  <c:v>45076</c:v>
                </c:pt>
                <c:pt idx="71">
                  <c:v>45167</c:v>
                </c:pt>
                <c:pt idx="72">
                  <c:v>45265</c:v>
                </c:pt>
                <c:pt idx="73">
                  <c:v>45378</c:v>
                </c:pt>
                <c:pt idx="74">
                  <c:v>45441</c:v>
                </c:pt>
                <c:pt idx="75">
                  <c:v>45532</c:v>
                </c:pt>
                <c:pt idx="76">
                  <c:v>45631</c:v>
                </c:pt>
                <c:pt idx="77">
                  <c:v>45743</c:v>
                </c:pt>
                <c:pt idx="78">
                  <c:v>45806</c:v>
                </c:pt>
                <c:pt idx="79">
                  <c:v>45897</c:v>
                </c:pt>
                <c:pt idx="80">
                  <c:v>45995</c:v>
                </c:pt>
              </c:numCache>
            </c:numRef>
          </c:cat>
          <c:val>
            <c:numRef>
              <c:f>'ULTA Forecast Factors'!$I$7:$I$87</c:f>
              <c:numCache>
                <c:formatCode>_(* #,##0_);_(* \(#,##0\);_(* "-"??_);_(@_)</c:formatCode>
                <c:ptCount val="81"/>
                <c:pt idx="0">
                  <c:v>144769</c:v>
                </c:pt>
                <c:pt idx="1">
                  <c:v>144768</c:v>
                </c:pt>
                <c:pt idx="2">
                  <c:v>159468</c:v>
                </c:pt>
                <c:pt idx="3">
                  <c:v>162558</c:v>
                </c:pt>
                <c:pt idx="4">
                  <c:v>216544</c:v>
                </c:pt>
                <c:pt idx="5">
                  <c:v>216543</c:v>
                </c:pt>
                <c:pt idx="6">
                  <c:v>194113</c:v>
                </c:pt>
                <c:pt idx="7">
                  <c:v>200448.99999999997</c:v>
                </c:pt>
                <c:pt idx="8">
                  <c:v>208235</c:v>
                </c:pt>
                <c:pt idx="9">
                  <c:v>309344</c:v>
                </c:pt>
                <c:pt idx="10">
                  <c:v>239298</c:v>
                </c:pt>
                <c:pt idx="11">
                  <c:v>249111</c:v>
                </c:pt>
                <c:pt idx="12">
                  <c:v>254843</c:v>
                </c:pt>
                <c:pt idx="13">
                  <c:v>341394</c:v>
                </c:pt>
                <c:pt idx="14">
                  <c:v>268825</c:v>
                </c:pt>
                <c:pt idx="15">
                  <c:v>273539</c:v>
                </c:pt>
                <c:pt idx="16">
                  <c:v>284043</c:v>
                </c:pt>
                <c:pt idx="17">
                  <c:v>396363.99999999994</c:v>
                </c:pt>
                <c:pt idx="18">
                  <c:v>320196.00000000006</c:v>
                </c:pt>
                <c:pt idx="19">
                  <c:v>321804</c:v>
                </c:pt>
                <c:pt idx="20">
                  <c:v>339179</c:v>
                </c:pt>
                <c:pt idx="21">
                  <c:v>473659</c:v>
                </c:pt>
                <c:pt idx="22">
                  <c:v>386006</c:v>
                </c:pt>
                <c:pt idx="23">
                  <c:v>394567</c:v>
                </c:pt>
                <c:pt idx="24">
                  <c:v>413067</c:v>
                </c:pt>
                <c:pt idx="25">
                  <c:v>582511</c:v>
                </c:pt>
                <c:pt idx="26">
                  <c:v>474097.99999999994</c:v>
                </c:pt>
                <c:pt idx="27">
                  <c:v>481683</c:v>
                </c:pt>
                <c:pt idx="28">
                  <c:v>505640</c:v>
                </c:pt>
                <c:pt idx="29">
                  <c:v>758835</c:v>
                </c:pt>
                <c:pt idx="30">
                  <c:v>582712</c:v>
                </c:pt>
                <c:pt idx="31">
                  <c:v>600998</c:v>
                </c:pt>
                <c:pt idx="32">
                  <c:v>618781</c:v>
                </c:pt>
                <c:pt idx="33">
                  <c:v>868082</c:v>
                </c:pt>
                <c:pt idx="34">
                  <c:v>713770</c:v>
                </c:pt>
                <c:pt idx="35">
                  <c:v>734236</c:v>
                </c:pt>
                <c:pt idx="36">
                  <c:v>745722</c:v>
                </c:pt>
                <c:pt idx="37">
                  <c:v>1047641</c:v>
                </c:pt>
                <c:pt idx="38">
                  <c:v>868122</c:v>
                </c:pt>
                <c:pt idx="39">
                  <c:v>876999</c:v>
                </c:pt>
                <c:pt idx="40">
                  <c:v>910700</c:v>
                </c:pt>
                <c:pt idx="41">
                  <c:v>1268295</c:v>
                </c:pt>
                <c:pt idx="42">
                  <c:v>1073716</c:v>
                </c:pt>
                <c:pt idx="43">
                  <c:v>1069215</c:v>
                </c:pt>
                <c:pt idx="44">
                  <c:v>1131232</c:v>
                </c:pt>
                <c:pt idx="45">
                  <c:v>1580574</c:v>
                </c:pt>
                <c:pt idx="46">
                  <c:v>1314879.0000000002</c:v>
                </c:pt>
                <c:pt idx="47">
                  <c:v>1289854</c:v>
                </c:pt>
                <c:pt idx="48">
                  <c:v>1342181</c:v>
                </c:pt>
                <c:pt idx="49">
                  <c:v>1937592</c:v>
                </c:pt>
                <c:pt idx="50">
                  <c:v>1543667</c:v>
                </c:pt>
                <c:pt idx="51">
                  <c:v>1488221</c:v>
                </c:pt>
                <c:pt idx="52">
                  <c:v>1560011.0000000002</c:v>
                </c:pt>
                <c:pt idx="53">
                  <c:v>2124716</c:v>
                </c:pt>
                <c:pt idx="54">
                  <c:v>1743029</c:v>
                </c:pt>
                <c:pt idx="55">
                  <c:v>1666607.0000000002</c:v>
                </c:pt>
                <c:pt idx="56">
                  <c:v>1682514</c:v>
                </c:pt>
                <c:pt idx="57">
                  <c:v>2305918</c:v>
                </c:pt>
                <c:pt idx="58">
                  <c:v>1173210</c:v>
                </c:pt>
                <c:pt idx="59">
                  <c:v>1228009</c:v>
                </c:pt>
                <c:pt idx="60">
                  <c:v>1552033</c:v>
                </c:pt>
                <c:pt idx="61">
                  <c:v>2198701</c:v>
                </c:pt>
                <c:pt idx="62">
                  <c:v>1938518.9999999998</c:v>
                </c:pt>
                <c:pt idx="63">
                  <c:v>1967207.0000000002</c:v>
                </c:pt>
                <c:pt idx="64">
                  <c:v>1995775</c:v>
                </c:pt>
                <c:pt idx="65">
                  <c:v>2729388</c:v>
                </c:pt>
                <c:pt idx="66">
                  <c:v>2345900.9999999995</c:v>
                </c:pt>
                <c:pt idx="67">
                  <c:v>2297113</c:v>
                </c:pt>
                <c:pt idx="68">
                  <c:v>2338793</c:v>
                </c:pt>
                <c:pt idx="69">
                  <c:v>3226773</c:v>
                </c:pt>
                <c:pt idx="70">
                  <c:v>2634263.0000000005</c:v>
                </c:pt>
                <c:pt idx="71">
                  <c:v>2529809</c:v>
                </c:pt>
                <c:pt idx="72">
                  <c:v>2488933</c:v>
                </c:pt>
                <c:pt idx="73">
                  <c:v>3554298</c:v>
                </c:pt>
                <c:pt idx="74">
                  <c:v>2725848</c:v>
                </c:pt>
                <c:pt idx="75">
                  <c:v>2552087</c:v>
                </c:pt>
                <c:pt idx="76">
                  <c:v>2530100</c:v>
                </c:pt>
                <c:pt idx="77">
                  <c:v>3487618.9999999995</c:v>
                </c:pt>
                <c:pt idx="78">
                  <c:v>2848367</c:v>
                </c:pt>
                <c:pt idx="79">
                  <c:v>2788469</c:v>
                </c:pt>
                <c:pt idx="80">
                  <c:v>2857623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D7-46BA-9C91-1AAF37BBC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801869968"/>
        <c:axId val="1253521455"/>
      </c:lineChart>
      <c:dateAx>
        <c:axId val="80186996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521455"/>
        <c:crosses val="autoZero"/>
        <c:auto val="1"/>
        <c:lblOffset val="100"/>
        <c:baseTimeUnit val="months"/>
      </c:dateAx>
      <c:valAx>
        <c:axId val="125352145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86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EXPONENTIAL SMOOTHING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'ULTA Expo Smooth'!$C$4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'ULTA Expo Smooth'!$B$5:$B$88</c:f>
              <c:numCache>
                <c:formatCode>m/d/yyyy</c:formatCode>
                <c:ptCount val="84"/>
                <c:pt idx="0">
                  <c:v>38472</c:v>
                </c:pt>
                <c:pt idx="1">
                  <c:v>38564</c:v>
                </c:pt>
                <c:pt idx="2">
                  <c:v>38656</c:v>
                </c:pt>
                <c:pt idx="3">
                  <c:v>38748</c:v>
                </c:pt>
                <c:pt idx="4">
                  <c:v>38837</c:v>
                </c:pt>
                <c:pt idx="5">
                  <c:v>38929</c:v>
                </c:pt>
                <c:pt idx="6">
                  <c:v>39021</c:v>
                </c:pt>
                <c:pt idx="7">
                  <c:v>39113</c:v>
                </c:pt>
                <c:pt idx="8">
                  <c:v>39202</c:v>
                </c:pt>
                <c:pt idx="9">
                  <c:v>39293</c:v>
                </c:pt>
                <c:pt idx="10">
                  <c:v>39386</c:v>
                </c:pt>
                <c:pt idx="11">
                  <c:v>39478</c:v>
                </c:pt>
                <c:pt idx="12">
                  <c:v>39568</c:v>
                </c:pt>
                <c:pt idx="13">
                  <c:v>39660</c:v>
                </c:pt>
                <c:pt idx="14">
                  <c:v>39752</c:v>
                </c:pt>
                <c:pt idx="15">
                  <c:v>39844</c:v>
                </c:pt>
                <c:pt idx="16">
                  <c:v>39933</c:v>
                </c:pt>
                <c:pt idx="17">
                  <c:v>40025</c:v>
                </c:pt>
                <c:pt idx="18">
                  <c:v>40117</c:v>
                </c:pt>
                <c:pt idx="19">
                  <c:v>40209</c:v>
                </c:pt>
                <c:pt idx="20">
                  <c:v>40298</c:v>
                </c:pt>
                <c:pt idx="21">
                  <c:v>40390</c:v>
                </c:pt>
                <c:pt idx="22">
                  <c:v>40482</c:v>
                </c:pt>
                <c:pt idx="23">
                  <c:v>40574</c:v>
                </c:pt>
                <c:pt idx="24">
                  <c:v>40663</c:v>
                </c:pt>
                <c:pt idx="25">
                  <c:v>40755</c:v>
                </c:pt>
                <c:pt idx="26">
                  <c:v>40847</c:v>
                </c:pt>
                <c:pt idx="27">
                  <c:v>40939</c:v>
                </c:pt>
                <c:pt idx="28">
                  <c:v>41029</c:v>
                </c:pt>
                <c:pt idx="29">
                  <c:v>41121</c:v>
                </c:pt>
                <c:pt idx="30">
                  <c:v>41213</c:v>
                </c:pt>
                <c:pt idx="31">
                  <c:v>41365</c:v>
                </c:pt>
                <c:pt idx="32">
                  <c:v>41435</c:v>
                </c:pt>
                <c:pt idx="33">
                  <c:v>41528</c:v>
                </c:pt>
                <c:pt idx="34">
                  <c:v>41612</c:v>
                </c:pt>
                <c:pt idx="35">
                  <c:v>41728</c:v>
                </c:pt>
                <c:pt idx="36">
                  <c:v>41794</c:v>
                </c:pt>
                <c:pt idx="37">
                  <c:v>41823</c:v>
                </c:pt>
                <c:pt idx="38">
                  <c:v>41976</c:v>
                </c:pt>
                <c:pt idx="39">
                  <c:v>42091</c:v>
                </c:pt>
                <c:pt idx="40">
                  <c:v>42157</c:v>
                </c:pt>
                <c:pt idx="41">
                  <c:v>42241</c:v>
                </c:pt>
                <c:pt idx="42">
                  <c:v>42339</c:v>
                </c:pt>
                <c:pt idx="43">
                  <c:v>42463</c:v>
                </c:pt>
                <c:pt idx="44">
                  <c:v>42522</c:v>
                </c:pt>
                <c:pt idx="45">
                  <c:v>42613</c:v>
                </c:pt>
                <c:pt idx="46">
                  <c:v>42704</c:v>
                </c:pt>
                <c:pt idx="47">
                  <c:v>42827</c:v>
                </c:pt>
                <c:pt idx="48">
                  <c:v>42887</c:v>
                </c:pt>
                <c:pt idx="49">
                  <c:v>42977</c:v>
                </c:pt>
                <c:pt idx="50">
                  <c:v>43075</c:v>
                </c:pt>
                <c:pt idx="51">
                  <c:v>43186</c:v>
                </c:pt>
                <c:pt idx="52">
                  <c:v>43250</c:v>
                </c:pt>
                <c:pt idx="53">
                  <c:v>43341</c:v>
                </c:pt>
                <c:pt idx="54">
                  <c:v>43439</c:v>
                </c:pt>
                <c:pt idx="55">
                  <c:v>43550</c:v>
                </c:pt>
                <c:pt idx="56">
                  <c:v>43613</c:v>
                </c:pt>
                <c:pt idx="57">
                  <c:v>43704</c:v>
                </c:pt>
                <c:pt idx="58">
                  <c:v>43802</c:v>
                </c:pt>
                <c:pt idx="59">
                  <c:v>43915</c:v>
                </c:pt>
                <c:pt idx="60">
                  <c:v>43978</c:v>
                </c:pt>
                <c:pt idx="61">
                  <c:v>44068</c:v>
                </c:pt>
                <c:pt idx="62">
                  <c:v>44167</c:v>
                </c:pt>
                <c:pt idx="63">
                  <c:v>44279</c:v>
                </c:pt>
                <c:pt idx="64">
                  <c:v>44342</c:v>
                </c:pt>
                <c:pt idx="65">
                  <c:v>44433</c:v>
                </c:pt>
                <c:pt idx="66">
                  <c:v>44531</c:v>
                </c:pt>
                <c:pt idx="67">
                  <c:v>44646</c:v>
                </c:pt>
                <c:pt idx="68">
                  <c:v>44706</c:v>
                </c:pt>
                <c:pt idx="69">
                  <c:v>44797</c:v>
                </c:pt>
                <c:pt idx="70">
                  <c:v>44895</c:v>
                </c:pt>
                <c:pt idx="71">
                  <c:v>45012</c:v>
                </c:pt>
                <c:pt idx="72">
                  <c:v>45076</c:v>
                </c:pt>
                <c:pt idx="73">
                  <c:v>45167</c:v>
                </c:pt>
                <c:pt idx="74">
                  <c:v>45265</c:v>
                </c:pt>
                <c:pt idx="75">
                  <c:v>45378</c:v>
                </c:pt>
                <c:pt idx="76">
                  <c:v>45441</c:v>
                </c:pt>
                <c:pt idx="77">
                  <c:v>45532</c:v>
                </c:pt>
                <c:pt idx="78">
                  <c:v>45631</c:v>
                </c:pt>
                <c:pt idx="79">
                  <c:v>45743</c:v>
                </c:pt>
                <c:pt idx="80">
                  <c:v>45806</c:v>
                </c:pt>
                <c:pt idx="81">
                  <c:v>45897</c:v>
                </c:pt>
                <c:pt idx="82">
                  <c:v>45995</c:v>
                </c:pt>
                <c:pt idx="83">
                  <c:v>46108</c:v>
                </c:pt>
              </c:numCache>
            </c:numRef>
          </c:cat>
          <c:val>
            <c:numRef>
              <c:f>'ULTA Expo Smooth'!$C$5:$C$88</c:f>
              <c:numCache>
                <c:formatCode>_(* #,##0_);_(* \(#,##0\);_(* "-"??_);_(@_)</c:formatCode>
                <c:ptCount val="84"/>
                <c:pt idx="0">
                  <c:v>144769</c:v>
                </c:pt>
                <c:pt idx="1">
                  <c:v>144769</c:v>
                </c:pt>
                <c:pt idx="2">
                  <c:v>144769</c:v>
                </c:pt>
                <c:pt idx="3">
                  <c:v>144768</c:v>
                </c:pt>
                <c:pt idx="4">
                  <c:v>159468</c:v>
                </c:pt>
                <c:pt idx="5">
                  <c:v>162558</c:v>
                </c:pt>
                <c:pt idx="6">
                  <c:v>216544</c:v>
                </c:pt>
                <c:pt idx="7">
                  <c:v>216543</c:v>
                </c:pt>
                <c:pt idx="8">
                  <c:v>194113</c:v>
                </c:pt>
                <c:pt idx="9">
                  <c:v>200449</c:v>
                </c:pt>
                <c:pt idx="10">
                  <c:v>208235</c:v>
                </c:pt>
                <c:pt idx="11">
                  <c:v>309344</c:v>
                </c:pt>
                <c:pt idx="12">
                  <c:v>239298</c:v>
                </c:pt>
                <c:pt idx="13">
                  <c:v>249111</c:v>
                </c:pt>
                <c:pt idx="14">
                  <c:v>254843</c:v>
                </c:pt>
                <c:pt idx="15">
                  <c:v>341394</c:v>
                </c:pt>
                <c:pt idx="16">
                  <c:v>268825</c:v>
                </c:pt>
                <c:pt idx="17">
                  <c:v>273539</c:v>
                </c:pt>
                <c:pt idx="18">
                  <c:v>284043</c:v>
                </c:pt>
                <c:pt idx="19">
                  <c:v>396364</c:v>
                </c:pt>
                <c:pt idx="20">
                  <c:v>320196</c:v>
                </c:pt>
                <c:pt idx="21">
                  <c:v>321804</c:v>
                </c:pt>
                <c:pt idx="22">
                  <c:v>339179</c:v>
                </c:pt>
                <c:pt idx="23">
                  <c:v>473659</c:v>
                </c:pt>
                <c:pt idx="24">
                  <c:v>386006</c:v>
                </c:pt>
                <c:pt idx="25">
                  <c:v>394567</c:v>
                </c:pt>
                <c:pt idx="26">
                  <c:v>413067</c:v>
                </c:pt>
                <c:pt idx="27">
                  <c:v>582511</c:v>
                </c:pt>
                <c:pt idx="28">
                  <c:v>474098</c:v>
                </c:pt>
                <c:pt idx="29">
                  <c:v>481683</c:v>
                </c:pt>
                <c:pt idx="30">
                  <c:v>505640</c:v>
                </c:pt>
                <c:pt idx="31">
                  <c:v>758835</c:v>
                </c:pt>
                <c:pt idx="32">
                  <c:v>582712</c:v>
                </c:pt>
                <c:pt idx="33">
                  <c:v>600998</c:v>
                </c:pt>
                <c:pt idx="34">
                  <c:v>618781</c:v>
                </c:pt>
                <c:pt idx="35">
                  <c:v>868082</c:v>
                </c:pt>
                <c:pt idx="36">
                  <c:v>713770</c:v>
                </c:pt>
                <c:pt idx="37">
                  <c:v>734236</c:v>
                </c:pt>
                <c:pt idx="38">
                  <c:v>745722</c:v>
                </c:pt>
                <c:pt idx="39">
                  <c:v>1047641</c:v>
                </c:pt>
                <c:pt idx="40">
                  <c:v>868122</c:v>
                </c:pt>
                <c:pt idx="41">
                  <c:v>876999</c:v>
                </c:pt>
                <c:pt idx="42">
                  <c:v>910700</c:v>
                </c:pt>
                <c:pt idx="43">
                  <c:v>1268295</c:v>
                </c:pt>
                <c:pt idx="44">
                  <c:v>1073716</c:v>
                </c:pt>
                <c:pt idx="45">
                  <c:v>1069215</c:v>
                </c:pt>
                <c:pt idx="46">
                  <c:v>1131232</c:v>
                </c:pt>
                <c:pt idx="47">
                  <c:v>1580574</c:v>
                </c:pt>
                <c:pt idx="48">
                  <c:v>1314879</c:v>
                </c:pt>
                <c:pt idx="49">
                  <c:v>1289854</c:v>
                </c:pt>
                <c:pt idx="50">
                  <c:v>1342181</c:v>
                </c:pt>
                <c:pt idx="51">
                  <c:v>1937592</c:v>
                </c:pt>
                <c:pt idx="52">
                  <c:v>1543667</c:v>
                </c:pt>
                <c:pt idx="53">
                  <c:v>1488221</c:v>
                </c:pt>
                <c:pt idx="54">
                  <c:v>1560011</c:v>
                </c:pt>
                <c:pt idx="55">
                  <c:v>2124716</c:v>
                </c:pt>
                <c:pt idx="56">
                  <c:v>1743029</c:v>
                </c:pt>
                <c:pt idx="57">
                  <c:v>1666607</c:v>
                </c:pt>
                <c:pt idx="58">
                  <c:v>1682514</c:v>
                </c:pt>
                <c:pt idx="59">
                  <c:v>2305918</c:v>
                </c:pt>
                <c:pt idx="60">
                  <c:v>1173210</c:v>
                </c:pt>
                <c:pt idx="61">
                  <c:v>1228009</c:v>
                </c:pt>
                <c:pt idx="62">
                  <c:v>1552033</c:v>
                </c:pt>
                <c:pt idx="63">
                  <c:v>2198701</c:v>
                </c:pt>
                <c:pt idx="64">
                  <c:v>1938519</c:v>
                </c:pt>
                <c:pt idx="65">
                  <c:v>1967207</c:v>
                </c:pt>
                <c:pt idx="66">
                  <c:v>1995775</c:v>
                </c:pt>
                <c:pt idx="67">
                  <c:v>2729388</c:v>
                </c:pt>
                <c:pt idx="68">
                  <c:v>2345901</c:v>
                </c:pt>
                <c:pt idx="69">
                  <c:v>2297113</c:v>
                </c:pt>
                <c:pt idx="70">
                  <c:v>2338793</c:v>
                </c:pt>
                <c:pt idx="71">
                  <c:v>3226773</c:v>
                </c:pt>
                <c:pt idx="72">
                  <c:v>2634263</c:v>
                </c:pt>
                <c:pt idx="73">
                  <c:v>2529809</c:v>
                </c:pt>
                <c:pt idx="74">
                  <c:v>2488933</c:v>
                </c:pt>
                <c:pt idx="75">
                  <c:v>3554298</c:v>
                </c:pt>
                <c:pt idx="76">
                  <c:v>2725848</c:v>
                </c:pt>
                <c:pt idx="77">
                  <c:v>2552087</c:v>
                </c:pt>
                <c:pt idx="78">
                  <c:v>2530100</c:v>
                </c:pt>
                <c:pt idx="79">
                  <c:v>3487619</c:v>
                </c:pt>
                <c:pt idx="80">
                  <c:v>2848367</c:v>
                </c:pt>
                <c:pt idx="81">
                  <c:v>2788469</c:v>
                </c:pt>
                <c:pt idx="82">
                  <c:v>2857623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01-4D7C-90CE-781CA5120378}"/>
            </c:ext>
          </c:extLst>
        </c:ser>
        <c:ser>
          <c:idx val="1"/>
          <c:order val="1"/>
          <c:tx>
            <c:strRef>
              <c:f>'ULTA Expo Smooth'!$D$4</c:f>
              <c:strCache>
                <c:ptCount val="1"/>
                <c:pt idx="0">
                  <c:v>Exp Smoothing</c:v>
                </c:pt>
              </c:strCache>
            </c:strRef>
          </c:tx>
          <c:spPr>
            <a:ln w="34925" cap="rnd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'ULTA Expo Smooth'!$B$5:$B$88</c:f>
              <c:numCache>
                <c:formatCode>m/d/yyyy</c:formatCode>
                <c:ptCount val="84"/>
                <c:pt idx="0">
                  <c:v>38472</c:v>
                </c:pt>
                <c:pt idx="1">
                  <c:v>38564</c:v>
                </c:pt>
                <c:pt idx="2">
                  <c:v>38656</c:v>
                </c:pt>
                <c:pt idx="3">
                  <c:v>38748</c:v>
                </c:pt>
                <c:pt idx="4">
                  <c:v>38837</c:v>
                </c:pt>
                <c:pt idx="5">
                  <c:v>38929</c:v>
                </c:pt>
                <c:pt idx="6">
                  <c:v>39021</c:v>
                </c:pt>
                <c:pt idx="7">
                  <c:v>39113</c:v>
                </c:pt>
                <c:pt idx="8">
                  <c:v>39202</c:v>
                </c:pt>
                <c:pt idx="9">
                  <c:v>39293</c:v>
                </c:pt>
                <c:pt idx="10">
                  <c:v>39386</c:v>
                </c:pt>
                <c:pt idx="11">
                  <c:v>39478</c:v>
                </c:pt>
                <c:pt idx="12">
                  <c:v>39568</c:v>
                </c:pt>
                <c:pt idx="13">
                  <c:v>39660</c:v>
                </c:pt>
                <c:pt idx="14">
                  <c:v>39752</c:v>
                </c:pt>
                <c:pt idx="15">
                  <c:v>39844</c:v>
                </c:pt>
                <c:pt idx="16">
                  <c:v>39933</c:v>
                </c:pt>
                <c:pt idx="17">
                  <c:v>40025</c:v>
                </c:pt>
                <c:pt idx="18">
                  <c:v>40117</c:v>
                </c:pt>
                <c:pt idx="19">
                  <c:v>40209</c:v>
                </c:pt>
                <c:pt idx="20">
                  <c:v>40298</c:v>
                </c:pt>
                <c:pt idx="21">
                  <c:v>40390</c:v>
                </c:pt>
                <c:pt idx="22">
                  <c:v>40482</c:v>
                </c:pt>
                <c:pt idx="23">
                  <c:v>40574</c:v>
                </c:pt>
                <c:pt idx="24">
                  <c:v>40663</c:v>
                </c:pt>
                <c:pt idx="25">
                  <c:v>40755</c:v>
                </c:pt>
                <c:pt idx="26">
                  <c:v>40847</c:v>
                </c:pt>
                <c:pt idx="27">
                  <c:v>40939</c:v>
                </c:pt>
                <c:pt idx="28">
                  <c:v>41029</c:v>
                </c:pt>
                <c:pt idx="29">
                  <c:v>41121</c:v>
                </c:pt>
                <c:pt idx="30">
                  <c:v>41213</c:v>
                </c:pt>
                <c:pt idx="31">
                  <c:v>41365</c:v>
                </c:pt>
                <c:pt idx="32">
                  <c:v>41435</c:v>
                </c:pt>
                <c:pt idx="33">
                  <c:v>41528</c:v>
                </c:pt>
                <c:pt idx="34">
                  <c:v>41612</c:v>
                </c:pt>
                <c:pt idx="35">
                  <c:v>41728</c:v>
                </c:pt>
                <c:pt idx="36">
                  <c:v>41794</c:v>
                </c:pt>
                <c:pt idx="37">
                  <c:v>41823</c:v>
                </c:pt>
                <c:pt idx="38">
                  <c:v>41976</c:v>
                </c:pt>
                <c:pt idx="39">
                  <c:v>42091</c:v>
                </c:pt>
                <c:pt idx="40">
                  <c:v>42157</c:v>
                </c:pt>
                <c:pt idx="41">
                  <c:v>42241</c:v>
                </c:pt>
                <c:pt idx="42">
                  <c:v>42339</c:v>
                </c:pt>
                <c:pt idx="43">
                  <c:v>42463</c:v>
                </c:pt>
                <c:pt idx="44">
                  <c:v>42522</c:v>
                </c:pt>
                <c:pt idx="45">
                  <c:v>42613</c:v>
                </c:pt>
                <c:pt idx="46">
                  <c:v>42704</c:v>
                </c:pt>
                <c:pt idx="47">
                  <c:v>42827</c:v>
                </c:pt>
                <c:pt idx="48">
                  <c:v>42887</c:v>
                </c:pt>
                <c:pt idx="49">
                  <c:v>42977</c:v>
                </c:pt>
                <c:pt idx="50">
                  <c:v>43075</c:v>
                </c:pt>
                <c:pt idx="51">
                  <c:v>43186</c:v>
                </c:pt>
                <c:pt idx="52">
                  <c:v>43250</c:v>
                </c:pt>
                <c:pt idx="53">
                  <c:v>43341</c:v>
                </c:pt>
                <c:pt idx="54">
                  <c:v>43439</c:v>
                </c:pt>
                <c:pt idx="55">
                  <c:v>43550</c:v>
                </c:pt>
                <c:pt idx="56">
                  <c:v>43613</c:v>
                </c:pt>
                <c:pt idx="57">
                  <c:v>43704</c:v>
                </c:pt>
                <c:pt idx="58">
                  <c:v>43802</c:v>
                </c:pt>
                <c:pt idx="59">
                  <c:v>43915</c:v>
                </c:pt>
                <c:pt idx="60">
                  <c:v>43978</c:v>
                </c:pt>
                <c:pt idx="61">
                  <c:v>44068</c:v>
                </c:pt>
                <c:pt idx="62">
                  <c:v>44167</c:v>
                </c:pt>
                <c:pt idx="63">
                  <c:v>44279</c:v>
                </c:pt>
                <c:pt idx="64">
                  <c:v>44342</c:v>
                </c:pt>
                <c:pt idx="65">
                  <c:v>44433</c:v>
                </c:pt>
                <c:pt idx="66">
                  <c:v>44531</c:v>
                </c:pt>
                <c:pt idx="67">
                  <c:v>44646</c:v>
                </c:pt>
                <c:pt idx="68">
                  <c:v>44706</c:v>
                </c:pt>
                <c:pt idx="69">
                  <c:v>44797</c:v>
                </c:pt>
                <c:pt idx="70">
                  <c:v>44895</c:v>
                </c:pt>
                <c:pt idx="71">
                  <c:v>45012</c:v>
                </c:pt>
                <c:pt idx="72">
                  <c:v>45076</c:v>
                </c:pt>
                <c:pt idx="73">
                  <c:v>45167</c:v>
                </c:pt>
                <c:pt idx="74">
                  <c:v>45265</c:v>
                </c:pt>
                <c:pt idx="75">
                  <c:v>45378</c:v>
                </c:pt>
                <c:pt idx="76">
                  <c:v>45441</c:v>
                </c:pt>
                <c:pt idx="77">
                  <c:v>45532</c:v>
                </c:pt>
                <c:pt idx="78">
                  <c:v>45631</c:v>
                </c:pt>
                <c:pt idx="79">
                  <c:v>45743</c:v>
                </c:pt>
                <c:pt idx="80">
                  <c:v>45806</c:v>
                </c:pt>
                <c:pt idx="81">
                  <c:v>45897</c:v>
                </c:pt>
                <c:pt idx="82">
                  <c:v>45995</c:v>
                </c:pt>
                <c:pt idx="83">
                  <c:v>46108</c:v>
                </c:pt>
              </c:numCache>
            </c:numRef>
          </c:cat>
          <c:val>
            <c:numRef>
              <c:f>'ULTA Expo Smooth'!$D$6:$D$88</c:f>
              <c:numCache>
                <c:formatCode>_(* #,##0_);_(* \(#,##0\);_(* "-"??_);_(@_)</c:formatCode>
                <c:ptCount val="83"/>
                <c:pt idx="0">
                  <c:v>144769</c:v>
                </c:pt>
                <c:pt idx="1">
                  <c:v>144769</c:v>
                </c:pt>
                <c:pt idx="2">
                  <c:v>144769</c:v>
                </c:pt>
                <c:pt idx="3">
                  <c:v>144768.60463198469</c:v>
                </c:pt>
                <c:pt idx="4">
                  <c:v>150580.27540483655</c:v>
                </c:pt>
                <c:pt idx="5">
                  <c:v>155315.88460590935</c:v>
                </c:pt>
                <c:pt idx="6">
                  <c:v>179523.52307020369</c:v>
                </c:pt>
                <c:pt idx="7">
                  <c:v>194159.84019160713</c:v>
                </c:pt>
                <c:pt idx="8">
                  <c:v>194141.32107801485</c:v>
                </c:pt>
                <c:pt idx="9">
                  <c:v>196635.17557458824</c:v>
                </c:pt>
                <c:pt idx="10">
                  <c:v>201221.3751355625</c:v>
                </c:pt>
                <c:pt idx="11">
                  <c:v>243969.60273790089</c:v>
                </c:pt>
                <c:pt idx="12">
                  <c:v>242122.60043511848</c:v>
                </c:pt>
                <c:pt idx="13">
                  <c:v>244885.5901012517</c:v>
                </c:pt>
                <c:pt idx="14">
                  <c:v>248822.4314905091</c:v>
                </c:pt>
                <c:pt idx="15">
                  <c:v>285422.26880587899</c:v>
                </c:pt>
                <c:pt idx="16">
                  <c:v>278860.23957859678</c:v>
                </c:pt>
                <c:pt idx="17">
                  <c:v>276756.39164743869</c:v>
                </c:pt>
                <c:pt idx="18">
                  <c:v>279637.28353010368</c:v>
                </c:pt>
                <c:pt idx="19">
                  <c:v>325787.29375400417</c:v>
                </c:pt>
                <c:pt idx="20">
                  <c:v>323576.67503949016</c:v>
                </c:pt>
                <c:pt idx="21">
                  <c:v>322875.81602734426</c:v>
                </c:pt>
                <c:pt idx="22">
                  <c:v>329321.57351778337</c:v>
                </c:pt>
                <c:pt idx="23">
                  <c:v>386387.97536044719</c:v>
                </c:pt>
                <c:pt idx="24">
                  <c:v>386236.95452029136</c:v>
                </c:pt>
                <c:pt idx="25">
                  <c:v>389530.38806901331</c:v>
                </c:pt>
                <c:pt idx="26">
                  <c:v>398836.01161519735</c:v>
                </c:pt>
                <c:pt idx="27">
                  <c:v>471455.22723426734</c:v>
                </c:pt>
                <c:pt idx="28">
                  <c:v>472500.09505756007</c:v>
                </c:pt>
                <c:pt idx="29">
                  <c:v>476130.72195939708</c:v>
                </c:pt>
                <c:pt idx="30">
                  <c:v>487797.74665142607</c:v>
                </c:pt>
                <c:pt idx="31">
                  <c:v>594957.20758186781</c:v>
                </c:pt>
                <c:pt idx="32">
                  <c:v>590115.84416321351</c:v>
                </c:pt>
                <c:pt idx="33">
                  <c:v>594418.30051865545</c:v>
                </c:pt>
                <c:pt idx="34">
                  <c:v>604050.53266009351</c:v>
                </c:pt>
                <c:pt idx="35">
                  <c:v>708440.12988062913</c:v>
                </c:pt>
                <c:pt idx="36">
                  <c:v>710547.39005156409</c:v>
                </c:pt>
                <c:pt idx="37">
                  <c:v>719913.10875223752</c:v>
                </c:pt>
                <c:pt idx="38">
                  <c:v>730117.11886211624</c:v>
                </c:pt>
                <c:pt idx="39">
                  <c:v>855655.90555989067</c:v>
                </c:pt>
                <c:pt idx="40">
                  <c:v>860584.60057729506</c:v>
                </c:pt>
                <c:pt idx="41">
                  <c:v>867074.32909949147</c:v>
                </c:pt>
                <c:pt idx="42">
                  <c:v>884322.52401982248</c:v>
                </c:pt>
                <c:pt idx="43">
                  <c:v>1036132.9597802736</c:v>
                </c:pt>
                <c:pt idx="44">
                  <c:v>1050992.091801116</c:v>
                </c:pt>
                <c:pt idx="45">
                  <c:v>1058196.846848814</c:v>
                </c:pt>
                <c:pt idx="46">
                  <c:v>1087072.6103977754</c:v>
                </c:pt>
                <c:pt idx="47">
                  <c:v>1282187.2753556082</c:v>
                </c:pt>
                <c:pt idx="48">
                  <c:v>1295112.5376451949</c:v>
                </c:pt>
                <c:pt idx="49">
                  <c:v>1293033.4800530018</c:v>
                </c:pt>
                <c:pt idx="50">
                  <c:v>1312464.8374716633</c:v>
                </c:pt>
                <c:pt idx="51">
                  <c:v>1559620.1230344241</c:v>
                </c:pt>
                <c:pt idx="52">
                  <c:v>1553312.7684423698</c:v>
                </c:pt>
                <c:pt idx="53">
                  <c:v>1527577.5651405458</c:v>
                </c:pt>
                <c:pt idx="54">
                  <c:v>1540400.7079104879</c:v>
                </c:pt>
                <c:pt idx="55">
                  <c:v>1771420.2852569211</c:v>
                </c:pt>
                <c:pt idx="56">
                  <c:v>1760195.279152903</c:v>
                </c:pt>
                <c:pt idx="57">
                  <c:v>1723193.4669683068</c:v>
                </c:pt>
                <c:pt idx="58">
                  <c:v>1707110.1068493375</c:v>
                </c:pt>
                <c:pt idx="59">
                  <c:v>1943859.5951139408</c:v>
                </c:pt>
                <c:pt idx="60">
                  <c:v>1639169.394197294</c:v>
                </c:pt>
                <c:pt idx="61">
                  <c:v>1476609.725171037</c:v>
                </c:pt>
                <c:pt idx="62">
                  <c:v>1506429.6756480504</c:v>
                </c:pt>
                <c:pt idx="63">
                  <c:v>1780131.6152104046</c:v>
                </c:pt>
                <c:pt idx="64">
                  <c:v>1842752.9211841901</c:v>
                </c:pt>
                <c:pt idx="65">
                  <c:v>1891958.0833223455</c:v>
                </c:pt>
                <c:pt idx="66">
                  <c:v>1933003.9716243884</c:v>
                </c:pt>
                <c:pt idx="67">
                  <c:v>2247868.744344729</c:v>
                </c:pt>
                <c:pt idx="68">
                  <c:v>2286627.5626991335</c:v>
                </c:pt>
                <c:pt idx="69">
                  <c:v>2290773.1692343936</c:v>
                </c:pt>
                <c:pt idx="70">
                  <c:v>2309758.674419526</c:v>
                </c:pt>
                <c:pt idx="71">
                  <c:v>2672316.808331538</c:v>
                </c:pt>
                <c:pt idx="72">
                  <c:v>2657271.5496566594</c:v>
                </c:pt>
                <c:pt idx="73">
                  <c:v>2606876.9343730509</c:v>
                </c:pt>
                <c:pt idx="74">
                  <c:v>2560245.6751225851</c:v>
                </c:pt>
                <c:pt idx="75">
                  <c:v>2953262.1699197809</c:v>
                </c:pt>
                <c:pt idx="76">
                  <c:v>2863349.8809061134</c:v>
                </c:pt>
                <c:pt idx="77">
                  <c:v>2740286.4934438053</c:v>
                </c:pt>
                <c:pt idx="78">
                  <c:v>2657185.4766867799</c:v>
                </c:pt>
                <c:pt idx="79">
                  <c:v>2985512.330642778</c:v>
                </c:pt>
                <c:pt idx="80">
                  <c:v>2931289.4534580442</c:v>
                </c:pt>
                <c:pt idx="81">
                  <c:v>2874822.8142292202</c:v>
                </c:pt>
                <c:pt idx="82" formatCode="_(* #,##0.00_);_(* \(#,##0.00\);_(* &quot;-&quot;??_);_(@_)">
                  <c:v>2868022.5578137799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01-4D7C-90CE-781CA5120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673759"/>
        <c:axId val="1663692959"/>
      </c:lineChart>
      <c:dateAx>
        <c:axId val="16636737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692959"/>
        <c:crosses val="autoZero"/>
        <c:auto val="1"/>
        <c:lblOffset val="100"/>
        <c:baseTimeUnit val="months"/>
      </c:dateAx>
      <c:valAx>
        <c:axId val="166369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67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Holt's Linear Trend Exponential Smoothing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'ULTA HLTES'!$C$11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'ULTA HLTES'!$B$12:$B$100</c:f>
              <c:numCache>
                <c:formatCode>m/d/yyyy</c:formatCode>
                <c:ptCount val="89"/>
                <c:pt idx="0">
                  <c:v>38472</c:v>
                </c:pt>
                <c:pt idx="1">
                  <c:v>38564</c:v>
                </c:pt>
                <c:pt idx="2">
                  <c:v>38656</c:v>
                </c:pt>
                <c:pt idx="3">
                  <c:v>38748</c:v>
                </c:pt>
                <c:pt idx="4">
                  <c:v>38837</c:v>
                </c:pt>
                <c:pt idx="5">
                  <c:v>38929</c:v>
                </c:pt>
                <c:pt idx="6">
                  <c:v>39021</c:v>
                </c:pt>
                <c:pt idx="7">
                  <c:v>39113</c:v>
                </c:pt>
                <c:pt idx="8">
                  <c:v>39202</c:v>
                </c:pt>
                <c:pt idx="9">
                  <c:v>39293</c:v>
                </c:pt>
                <c:pt idx="10">
                  <c:v>39386</c:v>
                </c:pt>
                <c:pt idx="11">
                  <c:v>39478</c:v>
                </c:pt>
                <c:pt idx="12">
                  <c:v>39568</c:v>
                </c:pt>
                <c:pt idx="13">
                  <c:v>39660</c:v>
                </c:pt>
                <c:pt idx="14">
                  <c:v>39752</c:v>
                </c:pt>
                <c:pt idx="15">
                  <c:v>39844</c:v>
                </c:pt>
                <c:pt idx="16">
                  <c:v>39933</c:v>
                </c:pt>
                <c:pt idx="17">
                  <c:v>40025</c:v>
                </c:pt>
                <c:pt idx="18">
                  <c:v>40117</c:v>
                </c:pt>
                <c:pt idx="19">
                  <c:v>40209</c:v>
                </c:pt>
                <c:pt idx="20">
                  <c:v>40298</c:v>
                </c:pt>
                <c:pt idx="21">
                  <c:v>40390</c:v>
                </c:pt>
                <c:pt idx="22">
                  <c:v>40482</c:v>
                </c:pt>
                <c:pt idx="23">
                  <c:v>40574</c:v>
                </c:pt>
                <c:pt idx="24">
                  <c:v>40663</c:v>
                </c:pt>
                <c:pt idx="25">
                  <c:v>40755</c:v>
                </c:pt>
                <c:pt idx="26">
                  <c:v>40847</c:v>
                </c:pt>
                <c:pt idx="27">
                  <c:v>40939</c:v>
                </c:pt>
                <c:pt idx="28">
                  <c:v>41029</c:v>
                </c:pt>
                <c:pt idx="29">
                  <c:v>41121</c:v>
                </c:pt>
                <c:pt idx="30">
                  <c:v>41213</c:v>
                </c:pt>
                <c:pt idx="31">
                  <c:v>41365</c:v>
                </c:pt>
                <c:pt idx="32">
                  <c:v>41435</c:v>
                </c:pt>
                <c:pt idx="33">
                  <c:v>41528</c:v>
                </c:pt>
                <c:pt idx="34">
                  <c:v>41612</c:v>
                </c:pt>
                <c:pt idx="35">
                  <c:v>41728</c:v>
                </c:pt>
                <c:pt idx="36">
                  <c:v>41794</c:v>
                </c:pt>
                <c:pt idx="37">
                  <c:v>41823</c:v>
                </c:pt>
                <c:pt idx="38">
                  <c:v>41976</c:v>
                </c:pt>
                <c:pt idx="39">
                  <c:v>42091</c:v>
                </c:pt>
                <c:pt idx="40">
                  <c:v>42157</c:v>
                </c:pt>
                <c:pt idx="41">
                  <c:v>42241</c:v>
                </c:pt>
                <c:pt idx="42">
                  <c:v>42339</c:v>
                </c:pt>
                <c:pt idx="43">
                  <c:v>42463</c:v>
                </c:pt>
                <c:pt idx="44">
                  <c:v>42522</c:v>
                </c:pt>
                <c:pt idx="45">
                  <c:v>42613</c:v>
                </c:pt>
                <c:pt idx="46">
                  <c:v>42704</c:v>
                </c:pt>
                <c:pt idx="47">
                  <c:v>42827</c:v>
                </c:pt>
                <c:pt idx="48">
                  <c:v>42887</c:v>
                </c:pt>
                <c:pt idx="49">
                  <c:v>42977</c:v>
                </c:pt>
                <c:pt idx="50">
                  <c:v>43075</c:v>
                </c:pt>
                <c:pt idx="51">
                  <c:v>43186</c:v>
                </c:pt>
                <c:pt idx="52">
                  <c:v>43250</c:v>
                </c:pt>
                <c:pt idx="53">
                  <c:v>43341</c:v>
                </c:pt>
                <c:pt idx="54">
                  <c:v>43439</c:v>
                </c:pt>
                <c:pt idx="55">
                  <c:v>43550</c:v>
                </c:pt>
                <c:pt idx="56">
                  <c:v>43613</c:v>
                </c:pt>
                <c:pt idx="57">
                  <c:v>43704</c:v>
                </c:pt>
                <c:pt idx="58">
                  <c:v>43802</c:v>
                </c:pt>
                <c:pt idx="59">
                  <c:v>43915</c:v>
                </c:pt>
                <c:pt idx="60">
                  <c:v>43978</c:v>
                </c:pt>
                <c:pt idx="61">
                  <c:v>44068</c:v>
                </c:pt>
                <c:pt idx="62">
                  <c:v>44167</c:v>
                </c:pt>
                <c:pt idx="63">
                  <c:v>44279</c:v>
                </c:pt>
                <c:pt idx="64">
                  <c:v>44342</c:v>
                </c:pt>
                <c:pt idx="65">
                  <c:v>44433</c:v>
                </c:pt>
                <c:pt idx="66">
                  <c:v>44531</c:v>
                </c:pt>
                <c:pt idx="67">
                  <c:v>44646</c:v>
                </c:pt>
                <c:pt idx="68">
                  <c:v>44706</c:v>
                </c:pt>
                <c:pt idx="69">
                  <c:v>44797</c:v>
                </c:pt>
                <c:pt idx="70">
                  <c:v>44895</c:v>
                </c:pt>
                <c:pt idx="71">
                  <c:v>45012</c:v>
                </c:pt>
                <c:pt idx="72">
                  <c:v>45076</c:v>
                </c:pt>
                <c:pt idx="73">
                  <c:v>45167</c:v>
                </c:pt>
                <c:pt idx="74">
                  <c:v>45265</c:v>
                </c:pt>
                <c:pt idx="75">
                  <c:v>45378</c:v>
                </c:pt>
                <c:pt idx="76">
                  <c:v>45441</c:v>
                </c:pt>
                <c:pt idx="77">
                  <c:v>45532</c:v>
                </c:pt>
                <c:pt idx="78">
                  <c:v>45631</c:v>
                </c:pt>
                <c:pt idx="79">
                  <c:v>45743</c:v>
                </c:pt>
                <c:pt idx="80">
                  <c:v>45806</c:v>
                </c:pt>
                <c:pt idx="81">
                  <c:v>45897</c:v>
                </c:pt>
                <c:pt idx="82">
                  <c:v>45995</c:v>
                </c:pt>
                <c:pt idx="83">
                  <c:v>46108</c:v>
                </c:pt>
                <c:pt idx="84">
                  <c:v>46234</c:v>
                </c:pt>
                <c:pt idx="85">
                  <c:v>46262</c:v>
                </c:pt>
                <c:pt idx="86">
                  <c:v>46360</c:v>
                </c:pt>
                <c:pt idx="87">
                  <c:v>46473</c:v>
                </c:pt>
                <c:pt idx="88">
                  <c:v>46599</c:v>
                </c:pt>
              </c:numCache>
            </c:numRef>
          </c:cat>
          <c:val>
            <c:numRef>
              <c:f>'ULTA HLTES'!$C$12:$C$94</c:f>
              <c:numCache>
                <c:formatCode>_(* #,##0_);_(* \(#,##0\);_(* "-"??_);_(@_)</c:formatCode>
                <c:ptCount val="83"/>
                <c:pt idx="0">
                  <c:v>144769</c:v>
                </c:pt>
                <c:pt idx="1">
                  <c:v>144769</c:v>
                </c:pt>
                <c:pt idx="2">
                  <c:v>144769</c:v>
                </c:pt>
                <c:pt idx="3">
                  <c:v>144768</c:v>
                </c:pt>
                <c:pt idx="4">
                  <c:v>159468</c:v>
                </c:pt>
                <c:pt idx="5">
                  <c:v>162558</c:v>
                </c:pt>
                <c:pt idx="6">
                  <c:v>216544</c:v>
                </c:pt>
                <c:pt idx="7">
                  <c:v>216543</c:v>
                </c:pt>
                <c:pt idx="8">
                  <c:v>194113</c:v>
                </c:pt>
                <c:pt idx="9">
                  <c:v>200449</c:v>
                </c:pt>
                <c:pt idx="10">
                  <c:v>208235</c:v>
                </c:pt>
                <c:pt idx="11">
                  <c:v>309344</c:v>
                </c:pt>
                <c:pt idx="12">
                  <c:v>239298</c:v>
                </c:pt>
                <c:pt idx="13">
                  <c:v>249111</c:v>
                </c:pt>
                <c:pt idx="14">
                  <c:v>254843</c:v>
                </c:pt>
                <c:pt idx="15">
                  <c:v>341394</c:v>
                </c:pt>
                <c:pt idx="16">
                  <c:v>268825</c:v>
                </c:pt>
                <c:pt idx="17">
                  <c:v>273539</c:v>
                </c:pt>
                <c:pt idx="18">
                  <c:v>284043</c:v>
                </c:pt>
                <c:pt idx="19">
                  <c:v>396364</c:v>
                </c:pt>
                <c:pt idx="20">
                  <c:v>320196</c:v>
                </c:pt>
                <c:pt idx="21">
                  <c:v>321804</c:v>
                </c:pt>
                <c:pt idx="22">
                  <c:v>339179</c:v>
                </c:pt>
                <c:pt idx="23">
                  <c:v>473659</c:v>
                </c:pt>
                <c:pt idx="24">
                  <c:v>386006</c:v>
                </c:pt>
                <c:pt idx="25">
                  <c:v>394567</c:v>
                </c:pt>
                <c:pt idx="26">
                  <c:v>413067</c:v>
                </c:pt>
                <c:pt idx="27">
                  <c:v>582511</c:v>
                </c:pt>
                <c:pt idx="28">
                  <c:v>474098</c:v>
                </c:pt>
                <c:pt idx="29">
                  <c:v>481683</c:v>
                </c:pt>
                <c:pt idx="30">
                  <c:v>505640</c:v>
                </c:pt>
                <c:pt idx="31">
                  <c:v>758835</c:v>
                </c:pt>
                <c:pt idx="32">
                  <c:v>582712</c:v>
                </c:pt>
                <c:pt idx="33">
                  <c:v>600998</c:v>
                </c:pt>
                <c:pt idx="34">
                  <c:v>618781</c:v>
                </c:pt>
                <c:pt idx="35">
                  <c:v>868082</c:v>
                </c:pt>
                <c:pt idx="36">
                  <c:v>713770</c:v>
                </c:pt>
                <c:pt idx="37">
                  <c:v>734236</c:v>
                </c:pt>
                <c:pt idx="38">
                  <c:v>745722</c:v>
                </c:pt>
                <c:pt idx="39">
                  <c:v>1047641</c:v>
                </c:pt>
                <c:pt idx="40">
                  <c:v>868122</c:v>
                </c:pt>
                <c:pt idx="41">
                  <c:v>876999</c:v>
                </c:pt>
                <c:pt idx="42">
                  <c:v>910700</c:v>
                </c:pt>
                <c:pt idx="43">
                  <c:v>1268295</c:v>
                </c:pt>
                <c:pt idx="44">
                  <c:v>1073716</c:v>
                </c:pt>
                <c:pt idx="45">
                  <c:v>1069215</c:v>
                </c:pt>
                <c:pt idx="46">
                  <c:v>1131232</c:v>
                </c:pt>
                <c:pt idx="47">
                  <c:v>1580574</c:v>
                </c:pt>
                <c:pt idx="48">
                  <c:v>1314879</c:v>
                </c:pt>
                <c:pt idx="49">
                  <c:v>1289854</c:v>
                </c:pt>
                <c:pt idx="50">
                  <c:v>1342181</c:v>
                </c:pt>
                <c:pt idx="51">
                  <c:v>1937592</c:v>
                </c:pt>
                <c:pt idx="52">
                  <c:v>1543667</c:v>
                </c:pt>
                <c:pt idx="53">
                  <c:v>1488221</c:v>
                </c:pt>
                <c:pt idx="54">
                  <c:v>1560011</c:v>
                </c:pt>
                <c:pt idx="55">
                  <c:v>2124716</c:v>
                </c:pt>
                <c:pt idx="56">
                  <c:v>1743029</c:v>
                </c:pt>
                <c:pt idx="57">
                  <c:v>1666607</c:v>
                </c:pt>
                <c:pt idx="58">
                  <c:v>1682514</c:v>
                </c:pt>
                <c:pt idx="59">
                  <c:v>2305918</c:v>
                </c:pt>
                <c:pt idx="60">
                  <c:v>1173210</c:v>
                </c:pt>
                <c:pt idx="61">
                  <c:v>1228009</c:v>
                </c:pt>
                <c:pt idx="62">
                  <c:v>1552033</c:v>
                </c:pt>
                <c:pt idx="63">
                  <c:v>2198701</c:v>
                </c:pt>
                <c:pt idx="64">
                  <c:v>1938519</c:v>
                </c:pt>
                <c:pt idx="65">
                  <c:v>1967207</c:v>
                </c:pt>
                <c:pt idx="66">
                  <c:v>1995775</c:v>
                </c:pt>
                <c:pt idx="67">
                  <c:v>2729388</c:v>
                </c:pt>
                <c:pt idx="68">
                  <c:v>2345901</c:v>
                </c:pt>
                <c:pt idx="69">
                  <c:v>2297113</c:v>
                </c:pt>
                <c:pt idx="70">
                  <c:v>2338793</c:v>
                </c:pt>
                <c:pt idx="71">
                  <c:v>3226773</c:v>
                </c:pt>
                <c:pt idx="72">
                  <c:v>2634263</c:v>
                </c:pt>
                <c:pt idx="73">
                  <c:v>2529809</c:v>
                </c:pt>
                <c:pt idx="74">
                  <c:v>2488933</c:v>
                </c:pt>
                <c:pt idx="75">
                  <c:v>3554298</c:v>
                </c:pt>
                <c:pt idx="76">
                  <c:v>2725848</c:v>
                </c:pt>
                <c:pt idx="77">
                  <c:v>2552087</c:v>
                </c:pt>
                <c:pt idx="78">
                  <c:v>2530100</c:v>
                </c:pt>
                <c:pt idx="79">
                  <c:v>3487619</c:v>
                </c:pt>
                <c:pt idx="80">
                  <c:v>2848367</c:v>
                </c:pt>
                <c:pt idx="81">
                  <c:v>2788469</c:v>
                </c:pt>
                <c:pt idx="82">
                  <c:v>2857623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CC-48D5-AD66-34D400F63BE2}"/>
            </c:ext>
          </c:extLst>
        </c:ser>
        <c:ser>
          <c:idx val="1"/>
          <c:order val="1"/>
          <c:tx>
            <c:strRef>
              <c:f>'ULTA HLTES'!$F$11</c:f>
              <c:strCache>
                <c:ptCount val="1"/>
                <c:pt idx="0">
                  <c:v>Forecast</c:v>
                </c:pt>
              </c:strCache>
            </c:strRef>
          </c:tx>
          <c:spPr>
            <a:ln w="34925" cap="rnd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'ULTA HLTES'!$B$12:$B$100</c:f>
              <c:numCache>
                <c:formatCode>m/d/yyyy</c:formatCode>
                <c:ptCount val="89"/>
                <c:pt idx="0">
                  <c:v>38472</c:v>
                </c:pt>
                <c:pt idx="1">
                  <c:v>38564</c:v>
                </c:pt>
                <c:pt idx="2">
                  <c:v>38656</c:v>
                </c:pt>
                <c:pt idx="3">
                  <c:v>38748</c:v>
                </c:pt>
                <c:pt idx="4">
                  <c:v>38837</c:v>
                </c:pt>
                <c:pt idx="5">
                  <c:v>38929</c:v>
                </c:pt>
                <c:pt idx="6">
                  <c:v>39021</c:v>
                </c:pt>
                <c:pt idx="7">
                  <c:v>39113</c:v>
                </c:pt>
                <c:pt idx="8">
                  <c:v>39202</c:v>
                </c:pt>
                <c:pt idx="9">
                  <c:v>39293</c:v>
                </c:pt>
                <c:pt idx="10">
                  <c:v>39386</c:v>
                </c:pt>
                <c:pt idx="11">
                  <c:v>39478</c:v>
                </c:pt>
                <c:pt idx="12">
                  <c:v>39568</c:v>
                </c:pt>
                <c:pt idx="13">
                  <c:v>39660</c:v>
                </c:pt>
                <c:pt idx="14">
                  <c:v>39752</c:v>
                </c:pt>
                <c:pt idx="15">
                  <c:v>39844</c:v>
                </c:pt>
                <c:pt idx="16">
                  <c:v>39933</c:v>
                </c:pt>
                <c:pt idx="17">
                  <c:v>40025</c:v>
                </c:pt>
                <c:pt idx="18">
                  <c:v>40117</c:v>
                </c:pt>
                <c:pt idx="19">
                  <c:v>40209</c:v>
                </c:pt>
                <c:pt idx="20">
                  <c:v>40298</c:v>
                </c:pt>
                <c:pt idx="21">
                  <c:v>40390</c:v>
                </c:pt>
                <c:pt idx="22">
                  <c:v>40482</c:v>
                </c:pt>
                <c:pt idx="23">
                  <c:v>40574</c:v>
                </c:pt>
                <c:pt idx="24">
                  <c:v>40663</c:v>
                </c:pt>
                <c:pt idx="25">
                  <c:v>40755</c:v>
                </c:pt>
                <c:pt idx="26">
                  <c:v>40847</c:v>
                </c:pt>
                <c:pt idx="27">
                  <c:v>40939</c:v>
                </c:pt>
                <c:pt idx="28">
                  <c:v>41029</c:v>
                </c:pt>
                <c:pt idx="29">
                  <c:v>41121</c:v>
                </c:pt>
                <c:pt idx="30">
                  <c:v>41213</c:v>
                </c:pt>
                <c:pt idx="31">
                  <c:v>41365</c:v>
                </c:pt>
                <c:pt idx="32">
                  <c:v>41435</c:v>
                </c:pt>
                <c:pt idx="33">
                  <c:v>41528</c:v>
                </c:pt>
                <c:pt idx="34">
                  <c:v>41612</c:v>
                </c:pt>
                <c:pt idx="35">
                  <c:v>41728</c:v>
                </c:pt>
                <c:pt idx="36">
                  <c:v>41794</c:v>
                </c:pt>
                <c:pt idx="37">
                  <c:v>41823</c:v>
                </c:pt>
                <c:pt idx="38">
                  <c:v>41976</c:v>
                </c:pt>
                <c:pt idx="39">
                  <c:v>42091</c:v>
                </c:pt>
                <c:pt idx="40">
                  <c:v>42157</c:v>
                </c:pt>
                <c:pt idx="41">
                  <c:v>42241</c:v>
                </c:pt>
                <c:pt idx="42">
                  <c:v>42339</c:v>
                </c:pt>
                <c:pt idx="43">
                  <c:v>42463</c:v>
                </c:pt>
                <c:pt idx="44">
                  <c:v>42522</c:v>
                </c:pt>
                <c:pt idx="45">
                  <c:v>42613</c:v>
                </c:pt>
                <c:pt idx="46">
                  <c:v>42704</c:v>
                </c:pt>
                <c:pt idx="47">
                  <c:v>42827</c:v>
                </c:pt>
                <c:pt idx="48">
                  <c:v>42887</c:v>
                </c:pt>
                <c:pt idx="49">
                  <c:v>42977</c:v>
                </c:pt>
                <c:pt idx="50">
                  <c:v>43075</c:v>
                </c:pt>
                <c:pt idx="51">
                  <c:v>43186</c:v>
                </c:pt>
                <c:pt idx="52">
                  <c:v>43250</c:v>
                </c:pt>
                <c:pt idx="53">
                  <c:v>43341</c:v>
                </c:pt>
                <c:pt idx="54">
                  <c:v>43439</c:v>
                </c:pt>
                <c:pt idx="55">
                  <c:v>43550</c:v>
                </c:pt>
                <c:pt idx="56">
                  <c:v>43613</c:v>
                </c:pt>
                <c:pt idx="57">
                  <c:v>43704</c:v>
                </c:pt>
                <c:pt idx="58">
                  <c:v>43802</c:v>
                </c:pt>
                <c:pt idx="59">
                  <c:v>43915</c:v>
                </c:pt>
                <c:pt idx="60">
                  <c:v>43978</c:v>
                </c:pt>
                <c:pt idx="61">
                  <c:v>44068</c:v>
                </c:pt>
                <c:pt idx="62">
                  <c:v>44167</c:v>
                </c:pt>
                <c:pt idx="63">
                  <c:v>44279</c:v>
                </c:pt>
                <c:pt idx="64">
                  <c:v>44342</c:v>
                </c:pt>
                <c:pt idx="65">
                  <c:v>44433</c:v>
                </c:pt>
                <c:pt idx="66">
                  <c:v>44531</c:v>
                </c:pt>
                <c:pt idx="67">
                  <c:v>44646</c:v>
                </c:pt>
                <c:pt idx="68">
                  <c:v>44706</c:v>
                </c:pt>
                <c:pt idx="69">
                  <c:v>44797</c:v>
                </c:pt>
                <c:pt idx="70">
                  <c:v>44895</c:v>
                </c:pt>
                <c:pt idx="71">
                  <c:v>45012</c:v>
                </c:pt>
                <c:pt idx="72">
                  <c:v>45076</c:v>
                </c:pt>
                <c:pt idx="73">
                  <c:v>45167</c:v>
                </c:pt>
                <c:pt idx="74">
                  <c:v>45265</c:v>
                </c:pt>
                <c:pt idx="75">
                  <c:v>45378</c:v>
                </c:pt>
                <c:pt idx="76">
                  <c:v>45441</c:v>
                </c:pt>
                <c:pt idx="77">
                  <c:v>45532</c:v>
                </c:pt>
                <c:pt idx="78">
                  <c:v>45631</c:v>
                </c:pt>
                <c:pt idx="79">
                  <c:v>45743</c:v>
                </c:pt>
                <c:pt idx="80">
                  <c:v>45806</c:v>
                </c:pt>
                <c:pt idx="81">
                  <c:v>45897</c:v>
                </c:pt>
                <c:pt idx="82">
                  <c:v>45995</c:v>
                </c:pt>
                <c:pt idx="83">
                  <c:v>46108</c:v>
                </c:pt>
                <c:pt idx="84">
                  <c:v>46234</c:v>
                </c:pt>
                <c:pt idx="85">
                  <c:v>46262</c:v>
                </c:pt>
                <c:pt idx="86">
                  <c:v>46360</c:v>
                </c:pt>
                <c:pt idx="87">
                  <c:v>46473</c:v>
                </c:pt>
                <c:pt idx="88">
                  <c:v>46599</c:v>
                </c:pt>
              </c:numCache>
            </c:numRef>
          </c:cat>
          <c:val>
            <c:numRef>
              <c:f>'ULTA HLTES'!$F$13:$F$100</c:f>
              <c:numCache>
                <c:formatCode>_(* #,##0_);_(* \(#,##0\);_(* "-"??_);_(@_)</c:formatCode>
                <c:ptCount val="88"/>
                <c:pt idx="0">
                  <c:v>144769</c:v>
                </c:pt>
                <c:pt idx="1">
                  <c:v>144769</c:v>
                </c:pt>
                <c:pt idx="2">
                  <c:v>144769</c:v>
                </c:pt>
                <c:pt idx="3">
                  <c:v>144768.67735419451</c:v>
                </c:pt>
                <c:pt idx="4">
                  <c:v>149511.33822456564</c:v>
                </c:pt>
                <c:pt idx="5">
                  <c:v>153925.45783079503</c:v>
                </c:pt>
                <c:pt idx="6">
                  <c:v>174515.40683509287</c:v>
                </c:pt>
                <c:pt idx="7">
                  <c:v>189333.71341423268</c:v>
                </c:pt>
                <c:pt idx="8">
                  <c:v>192719.2293837188</c:v>
                </c:pt>
                <c:pt idx="9">
                  <c:v>197123.25651362553</c:v>
                </c:pt>
                <c:pt idx="10">
                  <c:v>202726.09730763966</c:v>
                </c:pt>
                <c:pt idx="11">
                  <c:v>239298.32683790231</c:v>
                </c:pt>
                <c:pt idx="12">
                  <c:v>242955.24815229874</c:v>
                </c:pt>
                <c:pt idx="13">
                  <c:v>248598.39788168712</c:v>
                </c:pt>
                <c:pt idx="14">
                  <c:v>254355.93143068036</c:v>
                </c:pt>
                <c:pt idx="15">
                  <c:v>286268.09190085437</c:v>
                </c:pt>
                <c:pt idx="16">
                  <c:v>285681.81830543635</c:v>
                </c:pt>
                <c:pt idx="17">
                  <c:v>286562.76691005181</c:v>
                </c:pt>
                <c:pt idx="18">
                  <c:v>290379.46826230799</c:v>
                </c:pt>
                <c:pt idx="19">
                  <c:v>329169.53959247115</c:v>
                </c:pt>
                <c:pt idx="20">
                  <c:v>332344.66826668597</c:v>
                </c:pt>
                <c:pt idx="21">
                  <c:v>334889.21610408736</c:v>
                </c:pt>
                <c:pt idx="22">
                  <c:v>342071.9720728859</c:v>
                </c:pt>
                <c:pt idx="23">
                  <c:v>390386.38359027228</c:v>
                </c:pt>
                <c:pt idx="24">
                  <c:v>396663.78260711429</c:v>
                </c:pt>
                <c:pt idx="25">
                  <c:v>403616.98062087124</c:v>
                </c:pt>
                <c:pt idx="26">
                  <c:v>414266.50891099696</c:v>
                </c:pt>
                <c:pt idx="27">
                  <c:v>476281.99558596767</c:v>
                </c:pt>
                <c:pt idx="28">
                  <c:v>485652.19052975596</c:v>
                </c:pt>
                <c:pt idx="29">
                  <c:v>494415.9884521378</c:v>
                </c:pt>
                <c:pt idx="30">
                  <c:v>508026.53973188298</c:v>
                </c:pt>
                <c:pt idx="31">
                  <c:v>599094.29881266481</c:v>
                </c:pt>
                <c:pt idx="32">
                  <c:v>607446.49871275562</c:v>
                </c:pt>
                <c:pt idx="33">
                  <c:v>618775.6798701334</c:v>
                </c:pt>
                <c:pt idx="34">
                  <c:v>632097.36555806035</c:v>
                </c:pt>
                <c:pt idx="35">
                  <c:v>721556.86126891512</c:v>
                </c:pt>
                <c:pt idx="36">
                  <c:v>735650.50839672459</c:v>
                </c:pt>
                <c:pt idx="37">
                  <c:v>751691.73917941761</c:v>
                </c:pt>
                <c:pt idx="38">
                  <c:v>766243.54733136541</c:v>
                </c:pt>
                <c:pt idx="39">
                  <c:v>873430.04807234323</c:v>
                </c:pt>
                <c:pt idx="40">
                  <c:v>892030.58091774816</c:v>
                </c:pt>
                <c:pt idx="41">
                  <c:v>907419.9439969064</c:v>
                </c:pt>
                <c:pt idx="42">
                  <c:v>928508.17050830147</c:v>
                </c:pt>
                <c:pt idx="43">
                  <c:v>1058214.569612077</c:v>
                </c:pt>
                <c:pt idx="44">
                  <c:v>1088023.0555236677</c:v>
                </c:pt>
                <c:pt idx="45">
                  <c:v>1106977.5816160734</c:v>
                </c:pt>
                <c:pt idx="46">
                  <c:v>1139564.1388124025</c:v>
                </c:pt>
                <c:pt idx="47">
                  <c:v>1306952.8256780787</c:v>
                </c:pt>
                <c:pt idx="48">
                  <c:v>1340749.7828340062</c:v>
                </c:pt>
                <c:pt idx="49">
                  <c:v>1355678.4513986548</c:v>
                </c:pt>
                <c:pt idx="50">
                  <c:v>1381964.8290802639</c:v>
                </c:pt>
                <c:pt idx="51">
                  <c:v>1591688.9317418891</c:v>
                </c:pt>
                <c:pt idx="52">
                  <c:v>1614385.0939517694</c:v>
                </c:pt>
                <c:pt idx="53">
                  <c:v>1611200.3269943981</c:v>
                </c:pt>
                <c:pt idx="54">
                  <c:v>1630449.0640299157</c:v>
                </c:pt>
                <c:pt idx="55">
                  <c:v>1824974.1832314357</c:v>
                </c:pt>
                <c:pt idx="56">
                  <c:v>1840469.3701876439</c:v>
                </c:pt>
                <c:pt idx="57">
                  <c:v>1825166.8048246067</c:v>
                </c:pt>
                <c:pt idx="58">
                  <c:v>1817512.9032225152</c:v>
                </c:pt>
                <c:pt idx="59">
                  <c:v>2011480.7970752255</c:v>
                </c:pt>
                <c:pt idx="60">
                  <c:v>1784203.1456059336</c:v>
                </c:pt>
                <c:pt idx="61">
                  <c:v>1636263.7202067792</c:v>
                </c:pt>
                <c:pt idx="62">
                  <c:v>1632856.5089286885</c:v>
                </c:pt>
                <c:pt idx="63">
                  <c:v>1838020.4550285826</c:v>
                </c:pt>
                <c:pt idx="64">
                  <c:v>1900921.6665703589</c:v>
                </c:pt>
                <c:pt idx="65">
                  <c:v>1954183.5353684847</c:v>
                </c:pt>
                <c:pt idx="66">
                  <c:v>2000401.0306423602</c:v>
                </c:pt>
                <c:pt idx="67">
                  <c:v>2268982.9485542127</c:v>
                </c:pt>
                <c:pt idx="68">
                  <c:v>2337328.4491834152</c:v>
                </c:pt>
                <c:pt idx="69">
                  <c:v>2368952.3736304473</c:v>
                </c:pt>
                <c:pt idx="70">
                  <c:v>2403260.8628646457</c:v>
                </c:pt>
                <c:pt idx="71">
                  <c:v>2712582.925763879</c:v>
                </c:pt>
                <c:pt idx="72">
                  <c:v>2742399.7695894851</c:v>
                </c:pt>
                <c:pt idx="73">
                  <c:v>2727804.1117796609</c:v>
                </c:pt>
                <c:pt idx="74">
                  <c:v>2701768.9610306364</c:v>
                </c:pt>
                <c:pt idx="75">
                  <c:v>3024543.2958453386</c:v>
                </c:pt>
                <c:pt idx="76">
                  <c:v>2987751.0911600352</c:v>
                </c:pt>
                <c:pt idx="77">
                  <c:v>2902607.2535530841</c:v>
                </c:pt>
                <c:pt idx="78">
                  <c:v>2831774.2373534697</c:v>
                </c:pt>
                <c:pt idx="79">
                  <c:v>3087547.6548744151</c:v>
                </c:pt>
                <c:pt idx="80">
                  <c:v>3063677.2804173506</c:v>
                </c:pt>
                <c:pt idx="81">
                  <c:v>3024852.2382483305</c:v>
                </c:pt>
                <c:pt idx="82" formatCode="_(* #,##0.00_);_(* \(#,##0.00\);_(* &quot;-&quot;??_);_(@_)">
                  <c:v>3017034.003808666</c:v>
                </c:pt>
                <c:pt idx="83" formatCode="_(* #,##0.00_);_(* \(#,##0.00\);_(* &quot;-&quot;??_);_(@_)">
                  <c:v>3060842.9740489358</c:v>
                </c:pt>
                <c:pt idx="84" formatCode="_(* #,##0.00_);_(* \(#,##0.00\);_(* &quot;-&quot;??_);_(@_)">
                  <c:v>3104651.9442892056</c:v>
                </c:pt>
                <c:pt idx="85" formatCode="_(* #,##0.00_);_(* \(#,##0.00\);_(* &quot;-&quot;??_);_(@_)">
                  <c:v>3148460.9145294754</c:v>
                </c:pt>
                <c:pt idx="86" formatCode="_(* #,##0.00_);_(* \(#,##0.00\);_(* &quot;-&quot;??_);_(@_)">
                  <c:v>3192269.8847697452</c:v>
                </c:pt>
                <c:pt idx="87" formatCode="_(* #,##0.00_);_(* \(#,##0.00\);_(* &quot;-&quot;??_);_(@_)">
                  <c:v>3236078.855010015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CC-48D5-AD66-34D400F63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7371375"/>
        <c:axId val="1657357935"/>
      </c:lineChart>
      <c:dateAx>
        <c:axId val="165737137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357935"/>
        <c:crosses val="autoZero"/>
        <c:auto val="1"/>
        <c:lblOffset val="100"/>
        <c:baseTimeUnit val="months"/>
      </c:dateAx>
      <c:valAx>
        <c:axId val="1657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37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Holt-Winters Additive Seasonal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'ULTA HWAS'!$C$12</c:f>
              <c:strCache>
                <c:ptCount val="1"/>
                <c:pt idx="0">
                  <c:v>  Sales</c:v>
                </c:pt>
              </c:strCache>
            </c:strRef>
          </c:tx>
          <c:spPr>
            <a:ln w="34925" cap="rnd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'ULTA HWAS'!$B$13:$B$101</c:f>
              <c:numCache>
                <c:formatCode>m/d/yyyy</c:formatCode>
                <c:ptCount val="89"/>
                <c:pt idx="0">
                  <c:v>38472</c:v>
                </c:pt>
                <c:pt idx="1">
                  <c:v>38564</c:v>
                </c:pt>
                <c:pt idx="2">
                  <c:v>38656</c:v>
                </c:pt>
                <c:pt idx="3">
                  <c:v>38748</c:v>
                </c:pt>
                <c:pt idx="4">
                  <c:v>38837</c:v>
                </c:pt>
                <c:pt idx="5">
                  <c:v>38929</c:v>
                </c:pt>
                <c:pt idx="6">
                  <c:v>39021</c:v>
                </c:pt>
                <c:pt idx="7">
                  <c:v>39113</c:v>
                </c:pt>
                <c:pt idx="8">
                  <c:v>39202</c:v>
                </c:pt>
                <c:pt idx="9">
                  <c:v>39293</c:v>
                </c:pt>
                <c:pt idx="10">
                  <c:v>39386</c:v>
                </c:pt>
                <c:pt idx="11">
                  <c:v>39478</c:v>
                </c:pt>
                <c:pt idx="12">
                  <c:v>39568</c:v>
                </c:pt>
                <c:pt idx="13">
                  <c:v>39660</c:v>
                </c:pt>
                <c:pt idx="14">
                  <c:v>39752</c:v>
                </c:pt>
                <c:pt idx="15">
                  <c:v>39844</c:v>
                </c:pt>
                <c:pt idx="16">
                  <c:v>39933</c:v>
                </c:pt>
                <c:pt idx="17">
                  <c:v>40025</c:v>
                </c:pt>
                <c:pt idx="18">
                  <c:v>40117</c:v>
                </c:pt>
                <c:pt idx="19">
                  <c:v>40209</c:v>
                </c:pt>
                <c:pt idx="20">
                  <c:v>40298</c:v>
                </c:pt>
                <c:pt idx="21">
                  <c:v>40390</c:v>
                </c:pt>
                <c:pt idx="22">
                  <c:v>40482</c:v>
                </c:pt>
                <c:pt idx="23">
                  <c:v>40574</c:v>
                </c:pt>
                <c:pt idx="24">
                  <c:v>40663</c:v>
                </c:pt>
                <c:pt idx="25">
                  <c:v>40755</c:v>
                </c:pt>
                <c:pt idx="26">
                  <c:v>40847</c:v>
                </c:pt>
                <c:pt idx="27">
                  <c:v>40939</c:v>
                </c:pt>
                <c:pt idx="28">
                  <c:v>41029</c:v>
                </c:pt>
                <c:pt idx="29">
                  <c:v>41121</c:v>
                </c:pt>
                <c:pt idx="30">
                  <c:v>41213</c:v>
                </c:pt>
                <c:pt idx="31">
                  <c:v>41365</c:v>
                </c:pt>
                <c:pt idx="32">
                  <c:v>41435</c:v>
                </c:pt>
                <c:pt idx="33">
                  <c:v>41528</c:v>
                </c:pt>
                <c:pt idx="34">
                  <c:v>41612</c:v>
                </c:pt>
                <c:pt idx="35">
                  <c:v>41728</c:v>
                </c:pt>
                <c:pt idx="36">
                  <c:v>41794</c:v>
                </c:pt>
                <c:pt idx="37">
                  <c:v>41823</c:v>
                </c:pt>
                <c:pt idx="38">
                  <c:v>41976</c:v>
                </c:pt>
                <c:pt idx="39">
                  <c:v>42091</c:v>
                </c:pt>
                <c:pt idx="40">
                  <c:v>42157</c:v>
                </c:pt>
                <c:pt idx="41">
                  <c:v>42241</c:v>
                </c:pt>
                <c:pt idx="42">
                  <c:v>42339</c:v>
                </c:pt>
                <c:pt idx="43">
                  <c:v>42463</c:v>
                </c:pt>
                <c:pt idx="44">
                  <c:v>42522</c:v>
                </c:pt>
                <c:pt idx="45">
                  <c:v>42613</c:v>
                </c:pt>
                <c:pt idx="46">
                  <c:v>42704</c:v>
                </c:pt>
                <c:pt idx="47">
                  <c:v>42827</c:v>
                </c:pt>
                <c:pt idx="48">
                  <c:v>42887</c:v>
                </c:pt>
                <c:pt idx="49">
                  <c:v>42977</c:v>
                </c:pt>
                <c:pt idx="50">
                  <c:v>43075</c:v>
                </c:pt>
                <c:pt idx="51">
                  <c:v>43186</c:v>
                </c:pt>
                <c:pt idx="52">
                  <c:v>43250</c:v>
                </c:pt>
                <c:pt idx="53">
                  <c:v>43341</c:v>
                </c:pt>
                <c:pt idx="54">
                  <c:v>43439</c:v>
                </c:pt>
                <c:pt idx="55">
                  <c:v>43550</c:v>
                </c:pt>
                <c:pt idx="56">
                  <c:v>43613</c:v>
                </c:pt>
                <c:pt idx="57">
                  <c:v>43704</c:v>
                </c:pt>
                <c:pt idx="58">
                  <c:v>43802</c:v>
                </c:pt>
                <c:pt idx="59">
                  <c:v>43915</c:v>
                </c:pt>
                <c:pt idx="60">
                  <c:v>43978</c:v>
                </c:pt>
                <c:pt idx="61">
                  <c:v>44068</c:v>
                </c:pt>
                <c:pt idx="62">
                  <c:v>44167</c:v>
                </c:pt>
                <c:pt idx="63">
                  <c:v>44279</c:v>
                </c:pt>
                <c:pt idx="64">
                  <c:v>44342</c:v>
                </c:pt>
                <c:pt idx="65">
                  <c:v>44433</c:v>
                </c:pt>
                <c:pt idx="66">
                  <c:v>44531</c:v>
                </c:pt>
                <c:pt idx="67">
                  <c:v>44646</c:v>
                </c:pt>
                <c:pt idx="68">
                  <c:v>44706</c:v>
                </c:pt>
                <c:pt idx="69">
                  <c:v>44797</c:v>
                </c:pt>
                <c:pt idx="70">
                  <c:v>44895</c:v>
                </c:pt>
                <c:pt idx="71">
                  <c:v>45012</c:v>
                </c:pt>
                <c:pt idx="72">
                  <c:v>45076</c:v>
                </c:pt>
                <c:pt idx="73">
                  <c:v>45167</c:v>
                </c:pt>
                <c:pt idx="74">
                  <c:v>45265</c:v>
                </c:pt>
                <c:pt idx="75">
                  <c:v>45378</c:v>
                </c:pt>
                <c:pt idx="76">
                  <c:v>45441</c:v>
                </c:pt>
                <c:pt idx="77">
                  <c:v>45532</c:v>
                </c:pt>
                <c:pt idx="78">
                  <c:v>45631</c:v>
                </c:pt>
                <c:pt idx="79">
                  <c:v>45743</c:v>
                </c:pt>
                <c:pt idx="80">
                  <c:v>45806</c:v>
                </c:pt>
                <c:pt idx="81">
                  <c:v>45897</c:v>
                </c:pt>
                <c:pt idx="82">
                  <c:v>45995</c:v>
                </c:pt>
                <c:pt idx="83">
                  <c:v>46108</c:v>
                </c:pt>
                <c:pt idx="84">
                  <c:v>46234</c:v>
                </c:pt>
                <c:pt idx="85">
                  <c:v>46262</c:v>
                </c:pt>
                <c:pt idx="86">
                  <c:v>46360</c:v>
                </c:pt>
                <c:pt idx="87">
                  <c:v>46473</c:v>
                </c:pt>
                <c:pt idx="88">
                  <c:v>46599</c:v>
                </c:pt>
              </c:numCache>
            </c:numRef>
          </c:cat>
          <c:val>
            <c:numRef>
              <c:f>'ULTA HWAS'!$C$13:$C$95</c:f>
              <c:numCache>
                <c:formatCode>_(* #,##0_);_(* \(#,##0\);_(* "-"??_);_(@_)</c:formatCode>
                <c:ptCount val="83"/>
                <c:pt idx="0">
                  <c:v>144769</c:v>
                </c:pt>
                <c:pt idx="1">
                  <c:v>144769</c:v>
                </c:pt>
                <c:pt idx="2">
                  <c:v>144769</c:v>
                </c:pt>
                <c:pt idx="3">
                  <c:v>144768</c:v>
                </c:pt>
                <c:pt idx="4">
                  <c:v>159468</c:v>
                </c:pt>
                <c:pt idx="5">
                  <c:v>162558</c:v>
                </c:pt>
                <c:pt idx="6">
                  <c:v>216544</c:v>
                </c:pt>
                <c:pt idx="7">
                  <c:v>216543</c:v>
                </c:pt>
                <c:pt idx="8">
                  <c:v>194113</c:v>
                </c:pt>
                <c:pt idx="9">
                  <c:v>200449</c:v>
                </c:pt>
                <c:pt idx="10">
                  <c:v>208235</c:v>
                </c:pt>
                <c:pt idx="11">
                  <c:v>309344</c:v>
                </c:pt>
                <c:pt idx="12">
                  <c:v>239298</c:v>
                </c:pt>
                <c:pt idx="13">
                  <c:v>249111</c:v>
                </c:pt>
                <c:pt idx="14">
                  <c:v>254843</c:v>
                </c:pt>
                <c:pt idx="15">
                  <c:v>341394</c:v>
                </c:pt>
                <c:pt idx="16">
                  <c:v>268825</c:v>
                </c:pt>
                <c:pt idx="17">
                  <c:v>273539</c:v>
                </c:pt>
                <c:pt idx="18">
                  <c:v>284043</c:v>
                </c:pt>
                <c:pt idx="19">
                  <c:v>396364</c:v>
                </c:pt>
                <c:pt idx="20">
                  <c:v>320196</c:v>
                </c:pt>
                <c:pt idx="21">
                  <c:v>321804</c:v>
                </c:pt>
                <c:pt idx="22">
                  <c:v>339179</c:v>
                </c:pt>
                <c:pt idx="23">
                  <c:v>473659</c:v>
                </c:pt>
                <c:pt idx="24">
                  <c:v>386006</c:v>
                </c:pt>
                <c:pt idx="25">
                  <c:v>394567</c:v>
                </c:pt>
                <c:pt idx="26">
                  <c:v>413067</c:v>
                </c:pt>
                <c:pt idx="27">
                  <c:v>582511</c:v>
                </c:pt>
                <c:pt idx="28">
                  <c:v>474098</c:v>
                </c:pt>
                <c:pt idx="29">
                  <c:v>481683</c:v>
                </c:pt>
                <c:pt idx="30">
                  <c:v>505640</c:v>
                </c:pt>
                <c:pt idx="31">
                  <c:v>758835</c:v>
                </c:pt>
                <c:pt idx="32">
                  <c:v>582712</c:v>
                </c:pt>
                <c:pt idx="33">
                  <c:v>600998</c:v>
                </c:pt>
                <c:pt idx="34">
                  <c:v>618781</c:v>
                </c:pt>
                <c:pt idx="35">
                  <c:v>868082</c:v>
                </c:pt>
                <c:pt idx="36">
                  <c:v>713770</c:v>
                </c:pt>
                <c:pt idx="37">
                  <c:v>734236</c:v>
                </c:pt>
                <c:pt idx="38">
                  <c:v>745722</c:v>
                </c:pt>
                <c:pt idx="39">
                  <c:v>1047641</c:v>
                </c:pt>
                <c:pt idx="40">
                  <c:v>868122</c:v>
                </c:pt>
                <c:pt idx="41">
                  <c:v>876999</c:v>
                </c:pt>
                <c:pt idx="42">
                  <c:v>910700</c:v>
                </c:pt>
                <c:pt idx="43">
                  <c:v>1268295</c:v>
                </c:pt>
                <c:pt idx="44">
                  <c:v>1073716</c:v>
                </c:pt>
                <c:pt idx="45">
                  <c:v>1069215</c:v>
                </c:pt>
                <c:pt idx="46">
                  <c:v>1131232</c:v>
                </c:pt>
                <c:pt idx="47">
                  <c:v>1580574</c:v>
                </c:pt>
                <c:pt idx="48">
                  <c:v>1314879</c:v>
                </c:pt>
                <c:pt idx="49">
                  <c:v>1289854</c:v>
                </c:pt>
                <c:pt idx="50">
                  <c:v>1342181</c:v>
                </c:pt>
                <c:pt idx="51">
                  <c:v>1937592</c:v>
                </c:pt>
                <c:pt idx="52">
                  <c:v>1543667</c:v>
                </c:pt>
                <c:pt idx="53">
                  <c:v>1488221</c:v>
                </c:pt>
                <c:pt idx="54">
                  <c:v>1560011</c:v>
                </c:pt>
                <c:pt idx="55">
                  <c:v>2124716</c:v>
                </c:pt>
                <c:pt idx="56">
                  <c:v>1743029</c:v>
                </c:pt>
                <c:pt idx="57">
                  <c:v>1666607</c:v>
                </c:pt>
                <c:pt idx="58">
                  <c:v>1682514</c:v>
                </c:pt>
                <c:pt idx="59">
                  <c:v>2305918</c:v>
                </c:pt>
                <c:pt idx="60">
                  <c:v>1173210</c:v>
                </c:pt>
                <c:pt idx="61">
                  <c:v>1228009</c:v>
                </c:pt>
                <c:pt idx="62">
                  <c:v>1552033</c:v>
                </c:pt>
                <c:pt idx="63">
                  <c:v>2198701</c:v>
                </c:pt>
                <c:pt idx="64">
                  <c:v>1938519</c:v>
                </c:pt>
                <c:pt idx="65">
                  <c:v>1967207</c:v>
                </c:pt>
                <c:pt idx="66">
                  <c:v>1995775</c:v>
                </c:pt>
                <c:pt idx="67">
                  <c:v>2729388</c:v>
                </c:pt>
                <c:pt idx="68">
                  <c:v>2345901</c:v>
                </c:pt>
                <c:pt idx="69">
                  <c:v>2297113</c:v>
                </c:pt>
                <c:pt idx="70">
                  <c:v>2338793</c:v>
                </c:pt>
                <c:pt idx="71">
                  <c:v>3226773</c:v>
                </c:pt>
                <c:pt idx="72">
                  <c:v>2634263</c:v>
                </c:pt>
                <c:pt idx="73">
                  <c:v>2529809</c:v>
                </c:pt>
                <c:pt idx="74">
                  <c:v>2488933</c:v>
                </c:pt>
                <c:pt idx="75">
                  <c:v>3554298</c:v>
                </c:pt>
                <c:pt idx="76">
                  <c:v>2725848</c:v>
                </c:pt>
                <c:pt idx="77">
                  <c:v>2552087</c:v>
                </c:pt>
                <c:pt idx="78">
                  <c:v>2530100</c:v>
                </c:pt>
                <c:pt idx="79">
                  <c:v>3487619</c:v>
                </c:pt>
                <c:pt idx="80">
                  <c:v>2848367</c:v>
                </c:pt>
                <c:pt idx="81">
                  <c:v>2788469</c:v>
                </c:pt>
                <c:pt idx="82">
                  <c:v>2857623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6-4CCC-ADFF-CEDCF84F0080}"/>
            </c:ext>
          </c:extLst>
        </c:ser>
        <c:ser>
          <c:idx val="1"/>
          <c:order val="1"/>
          <c:tx>
            <c:strRef>
              <c:f>'ULTA HWAS'!$G$12</c:f>
              <c:strCache>
                <c:ptCount val="1"/>
                <c:pt idx="0">
                  <c:v>Forecast</c:v>
                </c:pt>
              </c:strCache>
            </c:strRef>
          </c:tx>
          <c:spPr>
            <a:ln w="34925" cap="rnd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'ULTA HWAS'!$B$13:$B$101</c:f>
              <c:numCache>
                <c:formatCode>m/d/yyyy</c:formatCode>
                <c:ptCount val="89"/>
                <c:pt idx="0">
                  <c:v>38472</c:v>
                </c:pt>
                <c:pt idx="1">
                  <c:v>38564</c:v>
                </c:pt>
                <c:pt idx="2">
                  <c:v>38656</c:v>
                </c:pt>
                <c:pt idx="3">
                  <c:v>38748</c:v>
                </c:pt>
                <c:pt idx="4">
                  <c:v>38837</c:v>
                </c:pt>
                <c:pt idx="5">
                  <c:v>38929</c:v>
                </c:pt>
                <c:pt idx="6">
                  <c:v>39021</c:v>
                </c:pt>
                <c:pt idx="7">
                  <c:v>39113</c:v>
                </c:pt>
                <c:pt idx="8">
                  <c:v>39202</c:v>
                </c:pt>
                <c:pt idx="9">
                  <c:v>39293</c:v>
                </c:pt>
                <c:pt idx="10">
                  <c:v>39386</c:v>
                </c:pt>
                <c:pt idx="11">
                  <c:v>39478</c:v>
                </c:pt>
                <c:pt idx="12">
                  <c:v>39568</c:v>
                </c:pt>
                <c:pt idx="13">
                  <c:v>39660</c:v>
                </c:pt>
                <c:pt idx="14">
                  <c:v>39752</c:v>
                </c:pt>
                <c:pt idx="15">
                  <c:v>39844</c:v>
                </c:pt>
                <c:pt idx="16">
                  <c:v>39933</c:v>
                </c:pt>
                <c:pt idx="17">
                  <c:v>40025</c:v>
                </c:pt>
                <c:pt idx="18">
                  <c:v>40117</c:v>
                </c:pt>
                <c:pt idx="19">
                  <c:v>40209</c:v>
                </c:pt>
                <c:pt idx="20">
                  <c:v>40298</c:v>
                </c:pt>
                <c:pt idx="21">
                  <c:v>40390</c:v>
                </c:pt>
                <c:pt idx="22">
                  <c:v>40482</c:v>
                </c:pt>
                <c:pt idx="23">
                  <c:v>40574</c:v>
                </c:pt>
                <c:pt idx="24">
                  <c:v>40663</c:v>
                </c:pt>
                <c:pt idx="25">
                  <c:v>40755</c:v>
                </c:pt>
                <c:pt idx="26">
                  <c:v>40847</c:v>
                </c:pt>
                <c:pt idx="27">
                  <c:v>40939</c:v>
                </c:pt>
                <c:pt idx="28">
                  <c:v>41029</c:v>
                </c:pt>
                <c:pt idx="29">
                  <c:v>41121</c:v>
                </c:pt>
                <c:pt idx="30">
                  <c:v>41213</c:v>
                </c:pt>
                <c:pt idx="31">
                  <c:v>41365</c:v>
                </c:pt>
                <c:pt idx="32">
                  <c:v>41435</c:v>
                </c:pt>
                <c:pt idx="33">
                  <c:v>41528</c:v>
                </c:pt>
                <c:pt idx="34">
                  <c:v>41612</c:v>
                </c:pt>
                <c:pt idx="35">
                  <c:v>41728</c:v>
                </c:pt>
                <c:pt idx="36">
                  <c:v>41794</c:v>
                </c:pt>
                <c:pt idx="37">
                  <c:v>41823</c:v>
                </c:pt>
                <c:pt idx="38">
                  <c:v>41976</c:v>
                </c:pt>
                <c:pt idx="39">
                  <c:v>42091</c:v>
                </c:pt>
                <c:pt idx="40">
                  <c:v>42157</c:v>
                </c:pt>
                <c:pt idx="41">
                  <c:v>42241</c:v>
                </c:pt>
                <c:pt idx="42">
                  <c:v>42339</c:v>
                </c:pt>
                <c:pt idx="43">
                  <c:v>42463</c:v>
                </c:pt>
                <c:pt idx="44">
                  <c:v>42522</c:v>
                </c:pt>
                <c:pt idx="45">
                  <c:v>42613</c:v>
                </c:pt>
                <c:pt idx="46">
                  <c:v>42704</c:v>
                </c:pt>
                <c:pt idx="47">
                  <c:v>42827</c:v>
                </c:pt>
                <c:pt idx="48">
                  <c:v>42887</c:v>
                </c:pt>
                <c:pt idx="49">
                  <c:v>42977</c:v>
                </c:pt>
                <c:pt idx="50">
                  <c:v>43075</c:v>
                </c:pt>
                <c:pt idx="51">
                  <c:v>43186</c:v>
                </c:pt>
                <c:pt idx="52">
                  <c:v>43250</c:v>
                </c:pt>
                <c:pt idx="53">
                  <c:v>43341</c:v>
                </c:pt>
                <c:pt idx="54">
                  <c:v>43439</c:v>
                </c:pt>
                <c:pt idx="55">
                  <c:v>43550</c:v>
                </c:pt>
                <c:pt idx="56">
                  <c:v>43613</c:v>
                </c:pt>
                <c:pt idx="57">
                  <c:v>43704</c:v>
                </c:pt>
                <c:pt idx="58">
                  <c:v>43802</c:v>
                </c:pt>
                <c:pt idx="59">
                  <c:v>43915</c:v>
                </c:pt>
                <c:pt idx="60">
                  <c:v>43978</c:v>
                </c:pt>
                <c:pt idx="61">
                  <c:v>44068</c:v>
                </c:pt>
                <c:pt idx="62">
                  <c:v>44167</c:v>
                </c:pt>
                <c:pt idx="63">
                  <c:v>44279</c:v>
                </c:pt>
                <c:pt idx="64">
                  <c:v>44342</c:v>
                </c:pt>
                <c:pt idx="65">
                  <c:v>44433</c:v>
                </c:pt>
                <c:pt idx="66">
                  <c:v>44531</c:v>
                </c:pt>
                <c:pt idx="67">
                  <c:v>44646</c:v>
                </c:pt>
                <c:pt idx="68">
                  <c:v>44706</c:v>
                </c:pt>
                <c:pt idx="69">
                  <c:v>44797</c:v>
                </c:pt>
                <c:pt idx="70">
                  <c:v>44895</c:v>
                </c:pt>
                <c:pt idx="71">
                  <c:v>45012</c:v>
                </c:pt>
                <c:pt idx="72">
                  <c:v>45076</c:v>
                </c:pt>
                <c:pt idx="73">
                  <c:v>45167</c:v>
                </c:pt>
                <c:pt idx="74">
                  <c:v>45265</c:v>
                </c:pt>
                <c:pt idx="75">
                  <c:v>45378</c:v>
                </c:pt>
                <c:pt idx="76">
                  <c:v>45441</c:v>
                </c:pt>
                <c:pt idx="77">
                  <c:v>45532</c:v>
                </c:pt>
                <c:pt idx="78">
                  <c:v>45631</c:v>
                </c:pt>
                <c:pt idx="79">
                  <c:v>45743</c:v>
                </c:pt>
                <c:pt idx="80">
                  <c:v>45806</c:v>
                </c:pt>
                <c:pt idx="81">
                  <c:v>45897</c:v>
                </c:pt>
                <c:pt idx="82">
                  <c:v>45995</c:v>
                </c:pt>
                <c:pt idx="83">
                  <c:v>46108</c:v>
                </c:pt>
                <c:pt idx="84">
                  <c:v>46234</c:v>
                </c:pt>
                <c:pt idx="85">
                  <c:v>46262</c:v>
                </c:pt>
                <c:pt idx="86">
                  <c:v>46360</c:v>
                </c:pt>
                <c:pt idx="87">
                  <c:v>46473</c:v>
                </c:pt>
                <c:pt idx="88">
                  <c:v>46599</c:v>
                </c:pt>
              </c:numCache>
            </c:numRef>
          </c:cat>
          <c:val>
            <c:numRef>
              <c:f>'ULTA HWAS'!$G$13:$G$101</c:f>
              <c:numCache>
                <c:formatCode>_(* #,##0_);_(* \(#,##0\);_(* "-"??_);_(@_)</c:formatCode>
                <c:ptCount val="89"/>
                <c:pt idx="4">
                  <c:v>144769</c:v>
                </c:pt>
                <c:pt idx="5">
                  <c:v>154127.18457581973</c:v>
                </c:pt>
                <c:pt idx="6">
                  <c:v>159946.44095158443</c:v>
                </c:pt>
                <c:pt idx="7">
                  <c:v>196689.37327225035</c:v>
                </c:pt>
                <c:pt idx="8">
                  <c:v>217573.0657173706</c:v>
                </c:pt>
                <c:pt idx="9">
                  <c:v>203227.34604662209</c:v>
                </c:pt>
                <c:pt idx="10">
                  <c:v>222779.36301382873</c:v>
                </c:pt>
                <c:pt idx="11">
                  <c:v>201292.66154815975</c:v>
                </c:pt>
                <c:pt idx="12">
                  <c:v>260615.63448901149</c:v>
                </c:pt>
                <c:pt idx="13">
                  <c:v>257851.46141396338</c:v>
                </c:pt>
                <c:pt idx="14">
                  <c:v>271104.12652200426</c:v>
                </c:pt>
                <c:pt idx="15">
                  <c:v>298786.68529723957</c:v>
                </c:pt>
                <c:pt idx="16">
                  <c:v>267360.12992753438</c:v>
                </c:pt>
                <c:pt idx="17">
                  <c:v>283942.85361434543</c:v>
                </c:pt>
                <c:pt idx="18">
                  <c:v>293758.87322572817</c:v>
                </c:pt>
                <c:pt idx="19">
                  <c:v>349342.2353630623</c:v>
                </c:pt>
                <c:pt idx="20">
                  <c:v>305248.94307939045</c:v>
                </c:pt>
                <c:pt idx="21">
                  <c:v>326609.74800281605</c:v>
                </c:pt>
                <c:pt idx="22">
                  <c:v>341547.07992012717</c:v>
                </c:pt>
                <c:pt idx="23">
                  <c:v>425625.6927747294</c:v>
                </c:pt>
                <c:pt idx="24">
                  <c:v>371220.45851261733</c:v>
                </c:pt>
                <c:pt idx="25">
                  <c:v>386409.36923684884</c:v>
                </c:pt>
                <c:pt idx="26">
                  <c:v>412270.64740457066</c:v>
                </c:pt>
                <c:pt idx="27">
                  <c:v>520334.51781832008</c:v>
                </c:pt>
                <c:pt idx="28">
                  <c:v>464037.15249552351</c:v>
                </c:pt>
                <c:pt idx="29">
                  <c:v>476246.58017442119</c:v>
                </c:pt>
                <c:pt idx="30">
                  <c:v>499969.69515993306</c:v>
                </c:pt>
                <c:pt idx="31">
                  <c:v>637736.75602371758</c:v>
                </c:pt>
                <c:pt idx="32">
                  <c:v>600975.94797803462</c:v>
                </c:pt>
                <c:pt idx="33">
                  <c:v>597702.09160434897</c:v>
                </c:pt>
                <c:pt idx="34">
                  <c:v>623656.32293328177</c:v>
                </c:pt>
                <c:pt idx="35">
                  <c:v>803633.02454042039</c:v>
                </c:pt>
                <c:pt idx="36">
                  <c:v>678998.43990014947</c:v>
                </c:pt>
                <c:pt idx="37">
                  <c:v>719356.99796132103</c:v>
                </c:pt>
                <c:pt idx="38">
                  <c:v>752466.32798173663</c:v>
                </c:pt>
                <c:pt idx="39">
                  <c:v>961929.0659709631</c:v>
                </c:pt>
                <c:pt idx="40">
                  <c:v>842435.73180153687</c:v>
                </c:pt>
                <c:pt idx="41">
                  <c:v>873123.65652787825</c:v>
                </c:pt>
                <c:pt idx="42">
                  <c:v>894379.74154532049</c:v>
                </c:pt>
                <c:pt idx="43">
                  <c:v>1158297.0422842628</c:v>
                </c:pt>
                <c:pt idx="44">
                  <c:v>1034654.9404000305</c:v>
                </c:pt>
                <c:pt idx="45">
                  <c:v>1070053.3825999408</c:v>
                </c:pt>
                <c:pt idx="46">
                  <c:v>1098414.3711929531</c:v>
                </c:pt>
                <c:pt idx="47">
                  <c:v>1414807.9179754565</c:v>
                </c:pt>
                <c:pt idx="48">
                  <c:v>1304279.9520560584</c:v>
                </c:pt>
                <c:pt idx="49">
                  <c:v>1313112.1230701688</c:v>
                </c:pt>
                <c:pt idx="50">
                  <c:v>1346865.5649088952</c:v>
                </c:pt>
                <c:pt idx="51">
                  <c:v>1697489.2190888086</c:v>
                </c:pt>
                <c:pt idx="52">
                  <c:v>1577701.5252724809</c:v>
                </c:pt>
                <c:pt idx="53">
                  <c:v>1551621.1451784857</c:v>
                </c:pt>
                <c:pt idx="54">
                  <c:v>1572611.6989253273</c:v>
                </c:pt>
                <c:pt idx="55">
                  <c:v>2018901.4675477666</c:v>
                </c:pt>
                <c:pt idx="56">
                  <c:v>1709584.3454017062</c:v>
                </c:pt>
                <c:pt idx="57">
                  <c:v>1714762.8214794355</c:v>
                </c:pt>
                <c:pt idx="58">
                  <c:v>1767421.7947320989</c:v>
                </c:pt>
                <c:pt idx="59">
                  <c:v>2216754.3817613833</c:v>
                </c:pt>
                <c:pt idx="60">
                  <c:v>1868507.3968053509</c:v>
                </c:pt>
                <c:pt idx="61">
                  <c:v>1377250.6746089677</c:v>
                </c:pt>
                <c:pt idx="62">
                  <c:v>1328352.2118671583</c:v>
                </c:pt>
                <c:pt idx="63">
                  <c:v>2016922.6950232319</c:v>
                </c:pt>
                <c:pt idx="64">
                  <c:v>1402159.8929789599</c:v>
                </c:pt>
                <c:pt idx="65">
                  <c:v>1896737.3714980655</c:v>
                </c:pt>
                <c:pt idx="66">
                  <c:v>2159037.7108481405</c:v>
                </c:pt>
                <c:pt idx="67">
                  <c:v>2615856.3416555179</c:v>
                </c:pt>
                <c:pt idx="68">
                  <c:v>2116595.0727780946</c:v>
                </c:pt>
                <c:pt idx="69">
                  <c:v>2249209.9910971569</c:v>
                </c:pt>
                <c:pt idx="70">
                  <c:v>2412718.9145861091</c:v>
                </c:pt>
                <c:pt idx="71">
                  <c:v>3042483.8469906803</c:v>
                </c:pt>
                <c:pt idx="72">
                  <c:v>2643631.3351875166</c:v>
                </c:pt>
                <c:pt idx="73">
                  <c:v>2564717.41094884</c:v>
                </c:pt>
                <c:pt idx="74">
                  <c:v>2632069.9831594452</c:v>
                </c:pt>
                <c:pt idx="75">
                  <c:v>3321559.3163635735</c:v>
                </c:pt>
                <c:pt idx="76">
                  <c:v>2877140.1993080718</c:v>
                </c:pt>
                <c:pt idx="77">
                  <c:v>2699197.9785466967</c:v>
                </c:pt>
                <c:pt idx="78">
                  <c:v>2649497.0177945858</c:v>
                </c:pt>
                <c:pt idx="79">
                  <c:v>3495807.8755424777</c:v>
                </c:pt>
                <c:pt idx="80">
                  <c:v>2740975.5134968325</c:v>
                </c:pt>
                <c:pt idx="81">
                  <c:v>2716281.3663113508</c:v>
                </c:pt>
                <c:pt idx="82">
                  <c:v>2811977.5784373288</c:v>
                </c:pt>
                <c:pt idx="83" formatCode="_(* #,##0.00_);_(* \(#,##0.00\);_(* &quot;-&quot;??_);_(@_)">
                  <c:v>3019903.1946939775</c:v>
                </c:pt>
                <c:pt idx="84" formatCode="_(* #,##0.00_);_(* \(#,##0.00\);_(* &quot;-&quot;??_);_(@_)">
                  <c:v>2933759.5288945134</c:v>
                </c:pt>
                <c:pt idx="85" formatCode="_(* #,##0.00_);_(* \(#,##0.00\);_(* &quot;-&quot;??_);_(@_)">
                  <c:v>2987118.4850789285</c:v>
                </c:pt>
                <c:pt idx="86" formatCode="_(* #,##0.00_);_(* \(#,##0.00\);_(* &quot;-&quot;??_);_(@_)">
                  <c:v>3956269.3924233457</c:v>
                </c:pt>
                <c:pt idx="87" formatCode="_(* #,##0.00_);_(* \(#,##0.00\);_(* &quot;-&quot;??_);_(@_)">
                  <c:v>3258868.302641008</c:v>
                </c:pt>
                <c:pt idx="88" formatCode="_(* #,##0.00_);_(* \(#,##0.00\);_(* &quot;-&quot;??_);_(@_)">
                  <c:v>3152589.6995144514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96-4CCC-ADFF-CEDCF84F0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886016"/>
        <c:axId val="805886496"/>
      </c:lineChart>
      <c:dateAx>
        <c:axId val="80588601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886496"/>
        <c:crosses val="autoZero"/>
        <c:auto val="1"/>
        <c:lblOffset val="100"/>
        <c:baseTimeUnit val="months"/>
      </c:dateAx>
      <c:valAx>
        <c:axId val="80588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88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Sales Forecast. HWMS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'ULTA HWMS'!$C$12</c:f>
              <c:strCache>
                <c:ptCount val="1"/>
                <c:pt idx="0">
                  <c:v>  Sales</c:v>
                </c:pt>
              </c:strCache>
            </c:strRef>
          </c:tx>
          <c:spPr>
            <a:ln w="34925" cap="rnd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'ULTA HWMS'!$B$16:$B$101</c:f>
              <c:numCache>
                <c:formatCode>m/d/yyyy</c:formatCode>
                <c:ptCount val="86"/>
                <c:pt idx="0">
                  <c:v>38748</c:v>
                </c:pt>
                <c:pt idx="1">
                  <c:v>38837</c:v>
                </c:pt>
                <c:pt idx="2">
                  <c:v>38929</c:v>
                </c:pt>
                <c:pt idx="3">
                  <c:v>39021</c:v>
                </c:pt>
                <c:pt idx="4">
                  <c:v>39113</c:v>
                </c:pt>
                <c:pt idx="5">
                  <c:v>39202</c:v>
                </c:pt>
                <c:pt idx="6">
                  <c:v>39293</c:v>
                </c:pt>
                <c:pt idx="7">
                  <c:v>39386</c:v>
                </c:pt>
                <c:pt idx="8">
                  <c:v>39478</c:v>
                </c:pt>
                <c:pt idx="9">
                  <c:v>39568</c:v>
                </c:pt>
                <c:pt idx="10">
                  <c:v>39660</c:v>
                </c:pt>
                <c:pt idx="11">
                  <c:v>39752</c:v>
                </c:pt>
                <c:pt idx="12">
                  <c:v>39844</c:v>
                </c:pt>
                <c:pt idx="13">
                  <c:v>39933</c:v>
                </c:pt>
                <c:pt idx="14">
                  <c:v>40025</c:v>
                </c:pt>
                <c:pt idx="15">
                  <c:v>40117</c:v>
                </c:pt>
                <c:pt idx="16">
                  <c:v>40209</c:v>
                </c:pt>
                <c:pt idx="17">
                  <c:v>40298</c:v>
                </c:pt>
                <c:pt idx="18">
                  <c:v>40390</c:v>
                </c:pt>
                <c:pt idx="19">
                  <c:v>40482</c:v>
                </c:pt>
                <c:pt idx="20">
                  <c:v>40574</c:v>
                </c:pt>
                <c:pt idx="21">
                  <c:v>40663</c:v>
                </c:pt>
                <c:pt idx="22">
                  <c:v>40755</c:v>
                </c:pt>
                <c:pt idx="23">
                  <c:v>40847</c:v>
                </c:pt>
                <c:pt idx="24">
                  <c:v>40939</c:v>
                </c:pt>
                <c:pt idx="25">
                  <c:v>41029</c:v>
                </c:pt>
                <c:pt idx="26">
                  <c:v>41121</c:v>
                </c:pt>
                <c:pt idx="27">
                  <c:v>41213</c:v>
                </c:pt>
                <c:pt idx="28">
                  <c:v>41365</c:v>
                </c:pt>
                <c:pt idx="29">
                  <c:v>41435</c:v>
                </c:pt>
                <c:pt idx="30">
                  <c:v>41528</c:v>
                </c:pt>
                <c:pt idx="31">
                  <c:v>41612</c:v>
                </c:pt>
                <c:pt idx="32">
                  <c:v>41728</c:v>
                </c:pt>
                <c:pt idx="33">
                  <c:v>41794</c:v>
                </c:pt>
                <c:pt idx="34">
                  <c:v>41823</c:v>
                </c:pt>
                <c:pt idx="35">
                  <c:v>41976</c:v>
                </c:pt>
                <c:pt idx="36">
                  <c:v>42091</c:v>
                </c:pt>
                <c:pt idx="37">
                  <c:v>42157</c:v>
                </c:pt>
                <c:pt idx="38">
                  <c:v>42241</c:v>
                </c:pt>
                <c:pt idx="39">
                  <c:v>42339</c:v>
                </c:pt>
                <c:pt idx="40">
                  <c:v>42463</c:v>
                </c:pt>
                <c:pt idx="41">
                  <c:v>42522</c:v>
                </c:pt>
                <c:pt idx="42">
                  <c:v>42613</c:v>
                </c:pt>
                <c:pt idx="43">
                  <c:v>42704</c:v>
                </c:pt>
                <c:pt idx="44">
                  <c:v>42827</c:v>
                </c:pt>
                <c:pt idx="45">
                  <c:v>42887</c:v>
                </c:pt>
                <c:pt idx="46">
                  <c:v>42977</c:v>
                </c:pt>
                <c:pt idx="47">
                  <c:v>43075</c:v>
                </c:pt>
                <c:pt idx="48">
                  <c:v>43186</c:v>
                </c:pt>
                <c:pt idx="49">
                  <c:v>43250</c:v>
                </c:pt>
                <c:pt idx="50">
                  <c:v>43341</c:v>
                </c:pt>
                <c:pt idx="51">
                  <c:v>43439</c:v>
                </c:pt>
                <c:pt idx="52">
                  <c:v>43550</c:v>
                </c:pt>
                <c:pt idx="53">
                  <c:v>43613</c:v>
                </c:pt>
                <c:pt idx="54">
                  <c:v>43704</c:v>
                </c:pt>
                <c:pt idx="55">
                  <c:v>43802</c:v>
                </c:pt>
                <c:pt idx="56">
                  <c:v>43915</c:v>
                </c:pt>
                <c:pt idx="57">
                  <c:v>43978</c:v>
                </c:pt>
                <c:pt idx="58">
                  <c:v>44068</c:v>
                </c:pt>
                <c:pt idx="59">
                  <c:v>44167</c:v>
                </c:pt>
                <c:pt idx="60">
                  <c:v>44279</c:v>
                </c:pt>
                <c:pt idx="61">
                  <c:v>44342</c:v>
                </c:pt>
                <c:pt idx="62">
                  <c:v>44433</c:v>
                </c:pt>
                <c:pt idx="63">
                  <c:v>44531</c:v>
                </c:pt>
                <c:pt idx="64">
                  <c:v>44646</c:v>
                </c:pt>
                <c:pt idx="65">
                  <c:v>44706</c:v>
                </c:pt>
                <c:pt idx="66">
                  <c:v>44797</c:v>
                </c:pt>
                <c:pt idx="67">
                  <c:v>44895</c:v>
                </c:pt>
                <c:pt idx="68">
                  <c:v>45012</c:v>
                </c:pt>
                <c:pt idx="69">
                  <c:v>45076</c:v>
                </c:pt>
                <c:pt idx="70">
                  <c:v>45167</c:v>
                </c:pt>
                <c:pt idx="71">
                  <c:v>45265</c:v>
                </c:pt>
                <c:pt idx="72">
                  <c:v>45378</c:v>
                </c:pt>
                <c:pt idx="73">
                  <c:v>45441</c:v>
                </c:pt>
                <c:pt idx="74">
                  <c:v>45532</c:v>
                </c:pt>
                <c:pt idx="75">
                  <c:v>45631</c:v>
                </c:pt>
                <c:pt idx="76">
                  <c:v>45743</c:v>
                </c:pt>
                <c:pt idx="77">
                  <c:v>45806</c:v>
                </c:pt>
                <c:pt idx="78">
                  <c:v>45897</c:v>
                </c:pt>
                <c:pt idx="79">
                  <c:v>45995</c:v>
                </c:pt>
                <c:pt idx="80">
                  <c:v>46108</c:v>
                </c:pt>
                <c:pt idx="81">
                  <c:v>46234</c:v>
                </c:pt>
                <c:pt idx="82">
                  <c:v>46262</c:v>
                </c:pt>
                <c:pt idx="83">
                  <c:v>46360</c:v>
                </c:pt>
                <c:pt idx="84">
                  <c:v>46473</c:v>
                </c:pt>
                <c:pt idx="85">
                  <c:v>46599</c:v>
                </c:pt>
              </c:numCache>
            </c:numRef>
          </c:cat>
          <c:val>
            <c:numRef>
              <c:f>'ULTA HWMS'!$C$16:$C$101</c:f>
              <c:numCache>
                <c:formatCode>_(* #,##0_);_(* \(#,##0\);_(* "-"??_);_(@_)</c:formatCode>
                <c:ptCount val="86"/>
                <c:pt idx="0">
                  <c:v>144768</c:v>
                </c:pt>
                <c:pt idx="1">
                  <c:v>159468</c:v>
                </c:pt>
                <c:pt idx="2">
                  <c:v>162558</c:v>
                </c:pt>
                <c:pt idx="3">
                  <c:v>216544</c:v>
                </c:pt>
                <c:pt idx="4">
                  <c:v>216543</c:v>
                </c:pt>
                <c:pt idx="5">
                  <c:v>194113</c:v>
                </c:pt>
                <c:pt idx="6">
                  <c:v>200449</c:v>
                </c:pt>
                <c:pt idx="7">
                  <c:v>208235</c:v>
                </c:pt>
                <c:pt idx="8">
                  <c:v>309344</c:v>
                </c:pt>
                <c:pt idx="9">
                  <c:v>239298</c:v>
                </c:pt>
                <c:pt idx="10">
                  <c:v>249111</c:v>
                </c:pt>
                <c:pt idx="11">
                  <c:v>254843</c:v>
                </c:pt>
                <c:pt idx="12">
                  <c:v>341394</c:v>
                </c:pt>
                <c:pt idx="13">
                  <c:v>268825</c:v>
                </c:pt>
                <c:pt idx="14">
                  <c:v>273539</c:v>
                </c:pt>
                <c:pt idx="15">
                  <c:v>284043</c:v>
                </c:pt>
                <c:pt idx="16">
                  <c:v>396364</c:v>
                </c:pt>
                <c:pt idx="17">
                  <c:v>320196</c:v>
                </c:pt>
                <c:pt idx="18">
                  <c:v>321804</c:v>
                </c:pt>
                <c:pt idx="19">
                  <c:v>339179</c:v>
                </c:pt>
                <c:pt idx="20">
                  <c:v>473659</c:v>
                </c:pt>
                <c:pt idx="21">
                  <c:v>386006</c:v>
                </c:pt>
                <c:pt idx="22">
                  <c:v>394567</c:v>
                </c:pt>
                <c:pt idx="23">
                  <c:v>413067</c:v>
                </c:pt>
                <c:pt idx="24">
                  <c:v>582511</c:v>
                </c:pt>
                <c:pt idx="25">
                  <c:v>474098</c:v>
                </c:pt>
                <c:pt idx="26">
                  <c:v>481683</c:v>
                </c:pt>
                <c:pt idx="27">
                  <c:v>505640</c:v>
                </c:pt>
                <c:pt idx="28">
                  <c:v>758835</c:v>
                </c:pt>
                <c:pt idx="29">
                  <c:v>582712</c:v>
                </c:pt>
                <c:pt idx="30">
                  <c:v>600998</c:v>
                </c:pt>
                <c:pt idx="31">
                  <c:v>618781</c:v>
                </c:pt>
                <c:pt idx="32">
                  <c:v>868082</c:v>
                </c:pt>
                <c:pt idx="33">
                  <c:v>713770</c:v>
                </c:pt>
                <c:pt idx="34">
                  <c:v>734236</c:v>
                </c:pt>
                <c:pt idx="35">
                  <c:v>745722</c:v>
                </c:pt>
                <c:pt idx="36">
                  <c:v>1047641</c:v>
                </c:pt>
                <c:pt idx="37">
                  <c:v>868122</c:v>
                </c:pt>
                <c:pt idx="38">
                  <c:v>876999</c:v>
                </c:pt>
                <c:pt idx="39">
                  <c:v>910700</c:v>
                </c:pt>
                <c:pt idx="40">
                  <c:v>1268295</c:v>
                </c:pt>
                <c:pt idx="41">
                  <c:v>1073716</c:v>
                </c:pt>
                <c:pt idx="42">
                  <c:v>1069215</c:v>
                </c:pt>
                <c:pt idx="43">
                  <c:v>1131232</c:v>
                </c:pt>
                <c:pt idx="44">
                  <c:v>1580574</c:v>
                </c:pt>
                <c:pt idx="45">
                  <c:v>1314879</c:v>
                </c:pt>
                <c:pt idx="46">
                  <c:v>1289854</c:v>
                </c:pt>
                <c:pt idx="47">
                  <c:v>1342181</c:v>
                </c:pt>
                <c:pt idx="48">
                  <c:v>1937592</c:v>
                </c:pt>
                <c:pt idx="49">
                  <c:v>1543667</c:v>
                </c:pt>
                <c:pt idx="50">
                  <c:v>1488221</c:v>
                </c:pt>
                <c:pt idx="51">
                  <c:v>1560011</c:v>
                </c:pt>
                <c:pt idx="52">
                  <c:v>2124716</c:v>
                </c:pt>
                <c:pt idx="53">
                  <c:v>1743029</c:v>
                </c:pt>
                <c:pt idx="54">
                  <c:v>1666607</c:v>
                </c:pt>
                <c:pt idx="55">
                  <c:v>1682514</c:v>
                </c:pt>
                <c:pt idx="56">
                  <c:v>2305918</c:v>
                </c:pt>
                <c:pt idx="57">
                  <c:v>1173210</c:v>
                </c:pt>
                <c:pt idx="58">
                  <c:v>1228009</c:v>
                </c:pt>
                <c:pt idx="59">
                  <c:v>1552033</c:v>
                </c:pt>
                <c:pt idx="60">
                  <c:v>2198701</c:v>
                </c:pt>
                <c:pt idx="61">
                  <c:v>1938519</c:v>
                </c:pt>
                <c:pt idx="62">
                  <c:v>1967207</c:v>
                </c:pt>
                <c:pt idx="63">
                  <c:v>1995775</c:v>
                </c:pt>
                <c:pt idx="64">
                  <c:v>2729388</c:v>
                </c:pt>
                <c:pt idx="65">
                  <c:v>2345901</c:v>
                </c:pt>
                <c:pt idx="66">
                  <c:v>2297113</c:v>
                </c:pt>
                <c:pt idx="67">
                  <c:v>2338793</c:v>
                </c:pt>
                <c:pt idx="68">
                  <c:v>3226773</c:v>
                </c:pt>
                <c:pt idx="69">
                  <c:v>2634263</c:v>
                </c:pt>
                <c:pt idx="70">
                  <c:v>2529809</c:v>
                </c:pt>
                <c:pt idx="71">
                  <c:v>2488933</c:v>
                </c:pt>
                <c:pt idx="72">
                  <c:v>3554298</c:v>
                </c:pt>
                <c:pt idx="73">
                  <c:v>2725848</c:v>
                </c:pt>
                <c:pt idx="74">
                  <c:v>2552087</c:v>
                </c:pt>
                <c:pt idx="75">
                  <c:v>2530100</c:v>
                </c:pt>
                <c:pt idx="76">
                  <c:v>3487619</c:v>
                </c:pt>
                <c:pt idx="77">
                  <c:v>2848367</c:v>
                </c:pt>
                <c:pt idx="78">
                  <c:v>2788469</c:v>
                </c:pt>
                <c:pt idx="79">
                  <c:v>2857623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42-4FC5-9CC4-A4270F404A8D}"/>
            </c:ext>
          </c:extLst>
        </c:ser>
        <c:ser>
          <c:idx val="1"/>
          <c:order val="1"/>
          <c:tx>
            <c:strRef>
              <c:f>'ULTA HWMS'!$G$12</c:f>
              <c:strCache>
                <c:ptCount val="1"/>
                <c:pt idx="0">
                  <c:v>Forecast</c:v>
                </c:pt>
              </c:strCache>
            </c:strRef>
          </c:tx>
          <c:spPr>
            <a:ln w="34925" cap="rnd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'ULTA HWMS'!$B$16:$B$101</c:f>
              <c:numCache>
                <c:formatCode>m/d/yyyy</c:formatCode>
                <c:ptCount val="86"/>
                <c:pt idx="0">
                  <c:v>38748</c:v>
                </c:pt>
                <c:pt idx="1">
                  <c:v>38837</c:v>
                </c:pt>
                <c:pt idx="2">
                  <c:v>38929</c:v>
                </c:pt>
                <c:pt idx="3">
                  <c:v>39021</c:v>
                </c:pt>
                <c:pt idx="4">
                  <c:v>39113</c:v>
                </c:pt>
                <c:pt idx="5">
                  <c:v>39202</c:v>
                </c:pt>
                <c:pt idx="6">
                  <c:v>39293</c:v>
                </c:pt>
                <c:pt idx="7">
                  <c:v>39386</c:v>
                </c:pt>
                <c:pt idx="8">
                  <c:v>39478</c:v>
                </c:pt>
                <c:pt idx="9">
                  <c:v>39568</c:v>
                </c:pt>
                <c:pt idx="10">
                  <c:v>39660</c:v>
                </c:pt>
                <c:pt idx="11">
                  <c:v>39752</c:v>
                </c:pt>
                <c:pt idx="12">
                  <c:v>39844</c:v>
                </c:pt>
                <c:pt idx="13">
                  <c:v>39933</c:v>
                </c:pt>
                <c:pt idx="14">
                  <c:v>40025</c:v>
                </c:pt>
                <c:pt idx="15">
                  <c:v>40117</c:v>
                </c:pt>
                <c:pt idx="16">
                  <c:v>40209</c:v>
                </c:pt>
                <c:pt idx="17">
                  <c:v>40298</c:v>
                </c:pt>
                <c:pt idx="18">
                  <c:v>40390</c:v>
                </c:pt>
                <c:pt idx="19">
                  <c:v>40482</c:v>
                </c:pt>
                <c:pt idx="20">
                  <c:v>40574</c:v>
                </c:pt>
                <c:pt idx="21">
                  <c:v>40663</c:v>
                </c:pt>
                <c:pt idx="22">
                  <c:v>40755</c:v>
                </c:pt>
                <c:pt idx="23">
                  <c:v>40847</c:v>
                </c:pt>
                <c:pt idx="24">
                  <c:v>40939</c:v>
                </c:pt>
                <c:pt idx="25">
                  <c:v>41029</c:v>
                </c:pt>
                <c:pt idx="26">
                  <c:v>41121</c:v>
                </c:pt>
                <c:pt idx="27">
                  <c:v>41213</c:v>
                </c:pt>
                <c:pt idx="28">
                  <c:v>41365</c:v>
                </c:pt>
                <c:pt idx="29">
                  <c:v>41435</c:v>
                </c:pt>
                <c:pt idx="30">
                  <c:v>41528</c:v>
                </c:pt>
                <c:pt idx="31">
                  <c:v>41612</c:v>
                </c:pt>
                <c:pt idx="32">
                  <c:v>41728</c:v>
                </c:pt>
                <c:pt idx="33">
                  <c:v>41794</c:v>
                </c:pt>
                <c:pt idx="34">
                  <c:v>41823</c:v>
                </c:pt>
                <c:pt idx="35">
                  <c:v>41976</c:v>
                </c:pt>
                <c:pt idx="36">
                  <c:v>42091</c:v>
                </c:pt>
                <c:pt idx="37">
                  <c:v>42157</c:v>
                </c:pt>
                <c:pt idx="38">
                  <c:v>42241</c:v>
                </c:pt>
                <c:pt idx="39">
                  <c:v>42339</c:v>
                </c:pt>
                <c:pt idx="40">
                  <c:v>42463</c:v>
                </c:pt>
                <c:pt idx="41">
                  <c:v>42522</c:v>
                </c:pt>
                <c:pt idx="42">
                  <c:v>42613</c:v>
                </c:pt>
                <c:pt idx="43">
                  <c:v>42704</c:v>
                </c:pt>
                <c:pt idx="44">
                  <c:v>42827</c:v>
                </c:pt>
                <c:pt idx="45">
                  <c:v>42887</c:v>
                </c:pt>
                <c:pt idx="46">
                  <c:v>42977</c:v>
                </c:pt>
                <c:pt idx="47">
                  <c:v>43075</c:v>
                </c:pt>
                <c:pt idx="48">
                  <c:v>43186</c:v>
                </c:pt>
                <c:pt idx="49">
                  <c:v>43250</c:v>
                </c:pt>
                <c:pt idx="50">
                  <c:v>43341</c:v>
                </c:pt>
                <c:pt idx="51">
                  <c:v>43439</c:v>
                </c:pt>
                <c:pt idx="52">
                  <c:v>43550</c:v>
                </c:pt>
                <c:pt idx="53">
                  <c:v>43613</c:v>
                </c:pt>
                <c:pt idx="54">
                  <c:v>43704</c:v>
                </c:pt>
                <c:pt idx="55">
                  <c:v>43802</c:v>
                </c:pt>
                <c:pt idx="56">
                  <c:v>43915</c:v>
                </c:pt>
                <c:pt idx="57">
                  <c:v>43978</c:v>
                </c:pt>
                <c:pt idx="58">
                  <c:v>44068</c:v>
                </c:pt>
                <c:pt idx="59">
                  <c:v>44167</c:v>
                </c:pt>
                <c:pt idx="60">
                  <c:v>44279</c:v>
                </c:pt>
                <c:pt idx="61">
                  <c:v>44342</c:v>
                </c:pt>
                <c:pt idx="62">
                  <c:v>44433</c:v>
                </c:pt>
                <c:pt idx="63">
                  <c:v>44531</c:v>
                </c:pt>
                <c:pt idx="64">
                  <c:v>44646</c:v>
                </c:pt>
                <c:pt idx="65">
                  <c:v>44706</c:v>
                </c:pt>
                <c:pt idx="66">
                  <c:v>44797</c:v>
                </c:pt>
                <c:pt idx="67">
                  <c:v>44895</c:v>
                </c:pt>
                <c:pt idx="68">
                  <c:v>45012</c:v>
                </c:pt>
                <c:pt idx="69">
                  <c:v>45076</c:v>
                </c:pt>
                <c:pt idx="70">
                  <c:v>45167</c:v>
                </c:pt>
                <c:pt idx="71">
                  <c:v>45265</c:v>
                </c:pt>
                <c:pt idx="72">
                  <c:v>45378</c:v>
                </c:pt>
                <c:pt idx="73">
                  <c:v>45441</c:v>
                </c:pt>
                <c:pt idx="74">
                  <c:v>45532</c:v>
                </c:pt>
                <c:pt idx="75">
                  <c:v>45631</c:v>
                </c:pt>
                <c:pt idx="76">
                  <c:v>45743</c:v>
                </c:pt>
                <c:pt idx="77">
                  <c:v>45806</c:v>
                </c:pt>
                <c:pt idx="78">
                  <c:v>45897</c:v>
                </c:pt>
                <c:pt idx="79">
                  <c:v>45995</c:v>
                </c:pt>
                <c:pt idx="80">
                  <c:v>46108</c:v>
                </c:pt>
                <c:pt idx="81">
                  <c:v>46234</c:v>
                </c:pt>
                <c:pt idx="82">
                  <c:v>46262</c:v>
                </c:pt>
                <c:pt idx="83">
                  <c:v>46360</c:v>
                </c:pt>
                <c:pt idx="84">
                  <c:v>46473</c:v>
                </c:pt>
                <c:pt idx="85">
                  <c:v>46599</c:v>
                </c:pt>
              </c:numCache>
            </c:numRef>
          </c:cat>
          <c:val>
            <c:numRef>
              <c:f>'ULTA HWMS'!$G$17:$G$101</c:f>
              <c:numCache>
                <c:formatCode>_(* #,##0_);_(* \(#,##0\);_(* "-"??_);_(@_)</c:formatCode>
                <c:ptCount val="85"/>
                <c:pt idx="0">
                  <c:v>144769</c:v>
                </c:pt>
                <c:pt idx="1">
                  <c:v>156016.47699334988</c:v>
                </c:pt>
                <c:pt idx="2">
                  <c:v>161514.93797085312</c:v>
                </c:pt>
                <c:pt idx="3">
                  <c:v>204333.38968955126</c:v>
                </c:pt>
                <c:pt idx="4">
                  <c:v>220085.08376655245</c:v>
                </c:pt>
                <c:pt idx="5">
                  <c:v>201207.07119085532</c:v>
                </c:pt>
                <c:pt idx="6">
                  <c:v>211549.58426834663</c:v>
                </c:pt>
                <c:pt idx="7">
                  <c:v>203051.93065962446</c:v>
                </c:pt>
                <c:pt idx="8">
                  <c:v>281361.7518133375</c:v>
                </c:pt>
                <c:pt idx="9">
                  <c:v>258210.01616469849</c:v>
                </c:pt>
                <c:pt idx="10">
                  <c:v>265833.24540787243</c:v>
                </c:pt>
                <c:pt idx="11">
                  <c:v>270020.47584036848</c:v>
                </c:pt>
                <c:pt idx="12">
                  <c:v>291598.78715164901</c:v>
                </c:pt>
                <c:pt idx="13">
                  <c:v>290776.56054462446</c:v>
                </c:pt>
                <c:pt idx="14">
                  <c:v>293655.73425915372</c:v>
                </c:pt>
                <c:pt idx="15">
                  <c:v>315403.77293788188</c:v>
                </c:pt>
                <c:pt idx="16">
                  <c:v>320424.45529827307</c:v>
                </c:pt>
                <c:pt idx="17">
                  <c:v>340675.78151751589</c:v>
                </c:pt>
                <c:pt idx="18">
                  <c:v>347604.38207091897</c:v>
                </c:pt>
                <c:pt idx="19">
                  <c:v>394325.13064140885</c:v>
                </c:pt>
                <c:pt idx="20">
                  <c:v>372030.67167382309</c:v>
                </c:pt>
                <c:pt idx="21">
                  <c:v>402860.77780832723</c:v>
                </c:pt>
                <c:pt idx="22">
                  <c:v>425550.86086330423</c:v>
                </c:pt>
                <c:pt idx="23">
                  <c:v>500144.76095162547</c:v>
                </c:pt>
                <c:pt idx="24">
                  <c:v>449735.58697821386</c:v>
                </c:pt>
                <c:pt idx="25">
                  <c:v>488129.35594634997</c:v>
                </c:pt>
                <c:pt idx="26">
                  <c:v>518314.18922549242</c:v>
                </c:pt>
                <c:pt idx="27">
                  <c:v>632851.53196501313</c:v>
                </c:pt>
                <c:pt idx="28">
                  <c:v>572761.30646831775</c:v>
                </c:pt>
                <c:pt idx="29">
                  <c:v>598813.47243481537</c:v>
                </c:pt>
                <c:pt idx="30">
                  <c:v>643209.5333546967</c:v>
                </c:pt>
                <c:pt idx="31">
                  <c:v>807514.05516691168</c:v>
                </c:pt>
                <c:pt idx="32">
                  <c:v>653083.27293746301</c:v>
                </c:pt>
                <c:pt idx="33">
                  <c:v>718449.42539587303</c:v>
                </c:pt>
                <c:pt idx="34">
                  <c:v>776206.55549664097</c:v>
                </c:pt>
                <c:pt idx="35">
                  <c:v>994442.83202830306</c:v>
                </c:pt>
                <c:pt idx="36">
                  <c:v>794735.79275271832</c:v>
                </c:pt>
                <c:pt idx="37">
                  <c:v>863458.83869585977</c:v>
                </c:pt>
                <c:pt idx="38">
                  <c:v>917860.04422499822</c:v>
                </c:pt>
                <c:pt idx="39">
                  <c:v>1225505.5674418209</c:v>
                </c:pt>
                <c:pt idx="40">
                  <c:v>973119.05219226785</c:v>
                </c:pt>
                <c:pt idx="41">
                  <c:v>1051633.0336590305</c:v>
                </c:pt>
                <c:pt idx="42">
                  <c:v>1114227.8057447635</c:v>
                </c:pt>
                <c:pt idx="43">
                  <c:v>1526002.351945692</c:v>
                </c:pt>
                <c:pt idx="44">
                  <c:v>1227392.2528562655</c:v>
                </c:pt>
                <c:pt idx="45">
                  <c:v>1278539.7955126788</c:v>
                </c:pt>
                <c:pt idx="46">
                  <c:v>1346588.671214717</c:v>
                </c:pt>
                <c:pt idx="47">
                  <c:v>1825720.1189703494</c:v>
                </c:pt>
                <c:pt idx="48">
                  <c:v>1504572.2201077749</c:v>
                </c:pt>
                <c:pt idx="49">
                  <c:v>1500391.3993589703</c:v>
                </c:pt>
                <c:pt idx="50">
                  <c:v>1555926.366312902</c:v>
                </c:pt>
                <c:pt idx="51">
                  <c:v>2141905.6714912769</c:v>
                </c:pt>
                <c:pt idx="52">
                  <c:v>1666116.0996029961</c:v>
                </c:pt>
                <c:pt idx="53">
                  <c:v>1672672.5960195519</c:v>
                </c:pt>
                <c:pt idx="54">
                  <c:v>1741732.1265029002</c:v>
                </c:pt>
                <c:pt idx="55">
                  <c:v>2324597.5545116346</c:v>
                </c:pt>
                <c:pt idx="56">
                  <c:v>1822969.6263981711</c:v>
                </c:pt>
                <c:pt idx="57">
                  <c:v>1281746.9456902239</c:v>
                </c:pt>
                <c:pt idx="58">
                  <c:v>1273592.6254628228</c:v>
                </c:pt>
                <c:pt idx="59">
                  <c:v>2019350.9592128561</c:v>
                </c:pt>
                <c:pt idx="60">
                  <c:v>1538468.8322309062</c:v>
                </c:pt>
                <c:pt idx="61">
                  <c:v>1919399.9406938143</c:v>
                </c:pt>
                <c:pt idx="62">
                  <c:v>2115542.2031995389</c:v>
                </c:pt>
                <c:pt idx="63">
                  <c:v>2732332.9613874657</c:v>
                </c:pt>
                <c:pt idx="64">
                  <c:v>2007601.4360982638</c:v>
                </c:pt>
                <c:pt idx="65">
                  <c:v>2282830.2344568237</c:v>
                </c:pt>
                <c:pt idx="66">
                  <c:v>2444748.4847318833</c:v>
                </c:pt>
                <c:pt idx="67">
                  <c:v>3227210.9996548085</c:v>
                </c:pt>
                <c:pt idx="68">
                  <c:v>2442250.1933268406</c:v>
                </c:pt>
                <c:pt idx="69">
                  <c:v>2543521.9805234498</c:v>
                </c:pt>
                <c:pt idx="70">
                  <c:v>2672236.7747167964</c:v>
                </c:pt>
                <c:pt idx="71">
                  <c:v>3484233.2448445992</c:v>
                </c:pt>
                <c:pt idx="72">
                  <c:v>2710488.082174981</c:v>
                </c:pt>
                <c:pt idx="73">
                  <c:v>2634486.7429881874</c:v>
                </c:pt>
                <c:pt idx="74">
                  <c:v>2673433.5801704084</c:v>
                </c:pt>
                <c:pt idx="75">
                  <c:v>3578970.207532669</c:v>
                </c:pt>
                <c:pt idx="76">
                  <c:v>2676261.0298219346</c:v>
                </c:pt>
                <c:pt idx="77">
                  <c:v>2687692.9758740976</c:v>
                </c:pt>
                <c:pt idx="78">
                  <c:v>2853483.9735096679</c:v>
                </c:pt>
                <c:pt idx="79">
                  <c:v>3023291.8294673874</c:v>
                </c:pt>
                <c:pt idx="80">
                  <c:v>2899992.7572547528</c:v>
                </c:pt>
                <c:pt idx="81">
                  <c:v>2994508.1660818737</c:v>
                </c:pt>
                <c:pt idx="82">
                  <c:v>4196053.0950544793</c:v>
                </c:pt>
                <c:pt idx="83">
                  <c:v>3252137.1021515122</c:v>
                </c:pt>
                <c:pt idx="84">
                  <c:v>3102139.0734384838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42-4FC5-9CC4-A4270F404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5938687"/>
        <c:axId val="1545922367"/>
      </c:lineChart>
      <c:dateAx>
        <c:axId val="154593868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922367"/>
        <c:crosses val="autoZero"/>
        <c:auto val="1"/>
        <c:lblOffset val="100"/>
        <c:baseTimeUnit val="months"/>
      </c:dateAx>
      <c:valAx>
        <c:axId val="154592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93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ULTA Sales vs  Linear Time Trend </a:t>
            </a:r>
          </a:p>
          <a:p>
            <a:pPr>
              <a:defRPr sz="1800"/>
            </a:pPr>
            <a:r>
              <a:rPr lang="en-US" sz="1800"/>
              <a:t>with Seasonal Dummy Variables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'ULTA Time Series Reg'!$G$4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'ULTA Time Series Reg'!$B$5:$B$93</c:f>
              <c:numCache>
                <c:formatCode>m/d/yyyy</c:formatCode>
                <c:ptCount val="89"/>
                <c:pt idx="0">
                  <c:v>38472</c:v>
                </c:pt>
                <c:pt idx="1">
                  <c:v>38564</c:v>
                </c:pt>
                <c:pt idx="2">
                  <c:v>38656</c:v>
                </c:pt>
                <c:pt idx="3">
                  <c:v>38748</c:v>
                </c:pt>
                <c:pt idx="4">
                  <c:v>38837</c:v>
                </c:pt>
                <c:pt idx="5">
                  <c:v>38929</c:v>
                </c:pt>
                <c:pt idx="6">
                  <c:v>39021</c:v>
                </c:pt>
                <c:pt idx="7">
                  <c:v>39113</c:v>
                </c:pt>
                <c:pt idx="8">
                  <c:v>39202</c:v>
                </c:pt>
                <c:pt idx="9">
                  <c:v>39293</c:v>
                </c:pt>
                <c:pt idx="10">
                  <c:v>39386</c:v>
                </c:pt>
                <c:pt idx="11">
                  <c:v>39478</c:v>
                </c:pt>
                <c:pt idx="12">
                  <c:v>39568</c:v>
                </c:pt>
                <c:pt idx="13">
                  <c:v>39660</c:v>
                </c:pt>
                <c:pt idx="14">
                  <c:v>39752</c:v>
                </c:pt>
                <c:pt idx="15">
                  <c:v>39844</c:v>
                </c:pt>
                <c:pt idx="16">
                  <c:v>39933</c:v>
                </c:pt>
                <c:pt idx="17">
                  <c:v>40025</c:v>
                </c:pt>
                <c:pt idx="18">
                  <c:v>40117</c:v>
                </c:pt>
                <c:pt idx="19">
                  <c:v>40209</c:v>
                </c:pt>
                <c:pt idx="20">
                  <c:v>40298</c:v>
                </c:pt>
                <c:pt idx="21">
                  <c:v>40390</c:v>
                </c:pt>
                <c:pt idx="22">
                  <c:v>40482</c:v>
                </c:pt>
                <c:pt idx="23">
                  <c:v>40574</c:v>
                </c:pt>
                <c:pt idx="24">
                  <c:v>40663</c:v>
                </c:pt>
                <c:pt idx="25">
                  <c:v>40755</c:v>
                </c:pt>
                <c:pt idx="26">
                  <c:v>40847</c:v>
                </c:pt>
                <c:pt idx="27">
                  <c:v>40939</c:v>
                </c:pt>
                <c:pt idx="28">
                  <c:v>41029</c:v>
                </c:pt>
                <c:pt idx="29">
                  <c:v>41121</c:v>
                </c:pt>
                <c:pt idx="30">
                  <c:v>41213</c:v>
                </c:pt>
                <c:pt idx="31">
                  <c:v>41365</c:v>
                </c:pt>
                <c:pt idx="32">
                  <c:v>41435</c:v>
                </c:pt>
                <c:pt idx="33">
                  <c:v>41528</c:v>
                </c:pt>
                <c:pt idx="34">
                  <c:v>41612</c:v>
                </c:pt>
                <c:pt idx="35">
                  <c:v>41728</c:v>
                </c:pt>
                <c:pt idx="36">
                  <c:v>41794</c:v>
                </c:pt>
                <c:pt idx="37">
                  <c:v>41823</c:v>
                </c:pt>
                <c:pt idx="38">
                  <c:v>41976</c:v>
                </c:pt>
                <c:pt idx="39">
                  <c:v>42091</c:v>
                </c:pt>
                <c:pt idx="40">
                  <c:v>42157</c:v>
                </c:pt>
                <c:pt idx="41">
                  <c:v>42241</c:v>
                </c:pt>
                <c:pt idx="42">
                  <c:v>42339</c:v>
                </c:pt>
                <c:pt idx="43">
                  <c:v>42463</c:v>
                </c:pt>
                <c:pt idx="44">
                  <c:v>42522</c:v>
                </c:pt>
                <c:pt idx="45">
                  <c:v>42613</c:v>
                </c:pt>
                <c:pt idx="46">
                  <c:v>42704</c:v>
                </c:pt>
                <c:pt idx="47">
                  <c:v>42827</c:v>
                </c:pt>
                <c:pt idx="48">
                  <c:v>42887</c:v>
                </c:pt>
                <c:pt idx="49">
                  <c:v>42977</c:v>
                </c:pt>
                <c:pt idx="50">
                  <c:v>43075</c:v>
                </c:pt>
                <c:pt idx="51">
                  <c:v>43186</c:v>
                </c:pt>
                <c:pt idx="52">
                  <c:v>43250</c:v>
                </c:pt>
                <c:pt idx="53">
                  <c:v>43341</c:v>
                </c:pt>
                <c:pt idx="54">
                  <c:v>43439</c:v>
                </c:pt>
                <c:pt idx="55">
                  <c:v>43550</c:v>
                </c:pt>
                <c:pt idx="56">
                  <c:v>43613</c:v>
                </c:pt>
                <c:pt idx="57">
                  <c:v>43704</c:v>
                </c:pt>
                <c:pt idx="58">
                  <c:v>43802</c:v>
                </c:pt>
                <c:pt idx="59">
                  <c:v>43915</c:v>
                </c:pt>
                <c:pt idx="60">
                  <c:v>43978</c:v>
                </c:pt>
                <c:pt idx="61">
                  <c:v>44068</c:v>
                </c:pt>
                <c:pt idx="62">
                  <c:v>44167</c:v>
                </c:pt>
                <c:pt idx="63">
                  <c:v>44279</c:v>
                </c:pt>
                <c:pt idx="64">
                  <c:v>44342</c:v>
                </c:pt>
                <c:pt idx="65">
                  <c:v>44433</c:v>
                </c:pt>
                <c:pt idx="66">
                  <c:v>44531</c:v>
                </c:pt>
                <c:pt idx="67">
                  <c:v>44646</c:v>
                </c:pt>
                <c:pt idx="68">
                  <c:v>44706</c:v>
                </c:pt>
                <c:pt idx="69">
                  <c:v>44797</c:v>
                </c:pt>
                <c:pt idx="70">
                  <c:v>44895</c:v>
                </c:pt>
                <c:pt idx="71">
                  <c:v>45012</c:v>
                </c:pt>
                <c:pt idx="72">
                  <c:v>45076</c:v>
                </c:pt>
                <c:pt idx="73">
                  <c:v>45167</c:v>
                </c:pt>
                <c:pt idx="74">
                  <c:v>45265</c:v>
                </c:pt>
                <c:pt idx="75">
                  <c:v>45378</c:v>
                </c:pt>
                <c:pt idx="76">
                  <c:v>45441</c:v>
                </c:pt>
                <c:pt idx="77">
                  <c:v>45532</c:v>
                </c:pt>
                <c:pt idx="78">
                  <c:v>45631</c:v>
                </c:pt>
                <c:pt idx="79">
                  <c:v>45743</c:v>
                </c:pt>
                <c:pt idx="80">
                  <c:v>45806</c:v>
                </c:pt>
                <c:pt idx="81">
                  <c:v>45897</c:v>
                </c:pt>
                <c:pt idx="82">
                  <c:v>45995</c:v>
                </c:pt>
                <c:pt idx="83">
                  <c:v>46108</c:v>
                </c:pt>
                <c:pt idx="84">
                  <c:v>46234</c:v>
                </c:pt>
                <c:pt idx="85">
                  <c:v>46262</c:v>
                </c:pt>
                <c:pt idx="86">
                  <c:v>46360</c:v>
                </c:pt>
                <c:pt idx="87">
                  <c:v>46473</c:v>
                </c:pt>
                <c:pt idx="88">
                  <c:v>46599</c:v>
                </c:pt>
              </c:numCache>
            </c:numRef>
          </c:cat>
          <c:val>
            <c:numRef>
              <c:f>'ULTA Time Series Reg'!$G$5:$G$87</c:f>
              <c:numCache>
                <c:formatCode>_(* #,##0_);_(* \(#,##0\);_(* "-"??_);_(@_)</c:formatCode>
                <c:ptCount val="83"/>
                <c:pt idx="0">
                  <c:v>144769</c:v>
                </c:pt>
                <c:pt idx="1">
                  <c:v>144769</c:v>
                </c:pt>
                <c:pt idx="2">
                  <c:v>144769</c:v>
                </c:pt>
                <c:pt idx="3">
                  <c:v>144768</c:v>
                </c:pt>
                <c:pt idx="4">
                  <c:v>159468</c:v>
                </c:pt>
                <c:pt idx="5">
                  <c:v>162558</c:v>
                </c:pt>
                <c:pt idx="6">
                  <c:v>216544</c:v>
                </c:pt>
                <c:pt idx="7">
                  <c:v>216543</c:v>
                </c:pt>
                <c:pt idx="8">
                  <c:v>194113</c:v>
                </c:pt>
                <c:pt idx="9">
                  <c:v>200449</c:v>
                </c:pt>
                <c:pt idx="10">
                  <c:v>208235</c:v>
                </c:pt>
                <c:pt idx="11">
                  <c:v>309344</c:v>
                </c:pt>
                <c:pt idx="12">
                  <c:v>239298</c:v>
                </c:pt>
                <c:pt idx="13">
                  <c:v>249111</c:v>
                </c:pt>
                <c:pt idx="14">
                  <c:v>254843</c:v>
                </c:pt>
                <c:pt idx="15">
                  <c:v>341394</c:v>
                </c:pt>
                <c:pt idx="16">
                  <c:v>268825</c:v>
                </c:pt>
                <c:pt idx="17">
                  <c:v>273539</c:v>
                </c:pt>
                <c:pt idx="18">
                  <c:v>284043</c:v>
                </c:pt>
                <c:pt idx="19">
                  <c:v>396364</c:v>
                </c:pt>
                <c:pt idx="20">
                  <c:v>320196</c:v>
                </c:pt>
                <c:pt idx="21">
                  <c:v>321804</c:v>
                </c:pt>
                <c:pt idx="22">
                  <c:v>339179</c:v>
                </c:pt>
                <c:pt idx="23">
                  <c:v>473659</c:v>
                </c:pt>
                <c:pt idx="24">
                  <c:v>386006</c:v>
                </c:pt>
                <c:pt idx="25">
                  <c:v>394567</c:v>
                </c:pt>
                <c:pt idx="26">
                  <c:v>413067</c:v>
                </c:pt>
                <c:pt idx="27">
                  <c:v>582511</c:v>
                </c:pt>
                <c:pt idx="28">
                  <c:v>474098</c:v>
                </c:pt>
                <c:pt idx="29">
                  <c:v>481683</c:v>
                </c:pt>
                <c:pt idx="30">
                  <c:v>505640</c:v>
                </c:pt>
                <c:pt idx="31">
                  <c:v>758835</c:v>
                </c:pt>
                <c:pt idx="32">
                  <c:v>582712</c:v>
                </c:pt>
                <c:pt idx="33">
                  <c:v>600998</c:v>
                </c:pt>
                <c:pt idx="34">
                  <c:v>618781</c:v>
                </c:pt>
                <c:pt idx="35">
                  <c:v>868082</c:v>
                </c:pt>
                <c:pt idx="36">
                  <c:v>713770</c:v>
                </c:pt>
                <c:pt idx="37">
                  <c:v>734236</c:v>
                </c:pt>
                <c:pt idx="38">
                  <c:v>745722</c:v>
                </c:pt>
                <c:pt idx="39">
                  <c:v>1047641</c:v>
                </c:pt>
                <c:pt idx="40">
                  <c:v>868122</c:v>
                </c:pt>
                <c:pt idx="41">
                  <c:v>876999</c:v>
                </c:pt>
                <c:pt idx="42">
                  <c:v>910700</c:v>
                </c:pt>
                <c:pt idx="43">
                  <c:v>1268295</c:v>
                </c:pt>
                <c:pt idx="44">
                  <c:v>1073716</c:v>
                </c:pt>
                <c:pt idx="45">
                  <c:v>1069215</c:v>
                </c:pt>
                <c:pt idx="46">
                  <c:v>1131232</c:v>
                </c:pt>
                <c:pt idx="47">
                  <c:v>1580574</c:v>
                </c:pt>
                <c:pt idx="48">
                  <c:v>1314879</c:v>
                </c:pt>
                <c:pt idx="49">
                  <c:v>1289854</c:v>
                </c:pt>
                <c:pt idx="50">
                  <c:v>1342181</c:v>
                </c:pt>
                <c:pt idx="51">
                  <c:v>1937592</c:v>
                </c:pt>
                <c:pt idx="52">
                  <c:v>1543667</c:v>
                </c:pt>
                <c:pt idx="53">
                  <c:v>1488221</c:v>
                </c:pt>
                <c:pt idx="54">
                  <c:v>1560011</c:v>
                </c:pt>
                <c:pt idx="55">
                  <c:v>2124716</c:v>
                </c:pt>
                <c:pt idx="56">
                  <c:v>1743029</c:v>
                </c:pt>
                <c:pt idx="57">
                  <c:v>1666607</c:v>
                </c:pt>
                <c:pt idx="58">
                  <c:v>1682514</c:v>
                </c:pt>
                <c:pt idx="59">
                  <c:v>2305918</c:v>
                </c:pt>
                <c:pt idx="60">
                  <c:v>1173210</c:v>
                </c:pt>
                <c:pt idx="61">
                  <c:v>1228009</c:v>
                </c:pt>
                <c:pt idx="62">
                  <c:v>1552033</c:v>
                </c:pt>
                <c:pt idx="63">
                  <c:v>2198701</c:v>
                </c:pt>
                <c:pt idx="64">
                  <c:v>1938519</c:v>
                </c:pt>
                <c:pt idx="65">
                  <c:v>1967207</c:v>
                </c:pt>
                <c:pt idx="66">
                  <c:v>1995775</c:v>
                </c:pt>
                <c:pt idx="67">
                  <c:v>2729388</c:v>
                </c:pt>
                <c:pt idx="68">
                  <c:v>2345901</c:v>
                </c:pt>
                <c:pt idx="69">
                  <c:v>2297113</c:v>
                </c:pt>
                <c:pt idx="70">
                  <c:v>2338793</c:v>
                </c:pt>
                <c:pt idx="71">
                  <c:v>3226773</c:v>
                </c:pt>
                <c:pt idx="72">
                  <c:v>2634263</c:v>
                </c:pt>
                <c:pt idx="73">
                  <c:v>2529809</c:v>
                </c:pt>
                <c:pt idx="74">
                  <c:v>2488933</c:v>
                </c:pt>
                <c:pt idx="75">
                  <c:v>3554298</c:v>
                </c:pt>
                <c:pt idx="76">
                  <c:v>2725848</c:v>
                </c:pt>
                <c:pt idx="77">
                  <c:v>2552087</c:v>
                </c:pt>
                <c:pt idx="78">
                  <c:v>2530100</c:v>
                </c:pt>
                <c:pt idx="79">
                  <c:v>3487619</c:v>
                </c:pt>
                <c:pt idx="80">
                  <c:v>2848367</c:v>
                </c:pt>
                <c:pt idx="81">
                  <c:v>2788469</c:v>
                </c:pt>
                <c:pt idx="82">
                  <c:v>2857623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32-41A9-9740-8B03BE0FC71C}"/>
            </c:ext>
          </c:extLst>
        </c:ser>
        <c:ser>
          <c:idx val="1"/>
          <c:order val="1"/>
          <c:tx>
            <c:strRef>
              <c:f>'ULTA Time Series Reg'!$H$4</c:f>
              <c:strCache>
                <c:ptCount val="1"/>
                <c:pt idx="0">
                  <c:v>Fit</c:v>
                </c:pt>
              </c:strCache>
            </c:strRef>
          </c:tx>
          <c:spPr>
            <a:ln w="34925" cap="rnd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'ULTA Time Series Reg'!$B$5:$B$93</c:f>
              <c:numCache>
                <c:formatCode>m/d/yyyy</c:formatCode>
                <c:ptCount val="89"/>
                <c:pt idx="0">
                  <c:v>38472</c:v>
                </c:pt>
                <c:pt idx="1">
                  <c:v>38564</c:v>
                </c:pt>
                <c:pt idx="2">
                  <c:v>38656</c:v>
                </c:pt>
                <c:pt idx="3">
                  <c:v>38748</c:v>
                </c:pt>
                <c:pt idx="4">
                  <c:v>38837</c:v>
                </c:pt>
                <c:pt idx="5">
                  <c:v>38929</c:v>
                </c:pt>
                <c:pt idx="6">
                  <c:v>39021</c:v>
                </c:pt>
                <c:pt idx="7">
                  <c:v>39113</c:v>
                </c:pt>
                <c:pt idx="8">
                  <c:v>39202</c:v>
                </c:pt>
                <c:pt idx="9">
                  <c:v>39293</c:v>
                </c:pt>
                <c:pt idx="10">
                  <c:v>39386</c:v>
                </c:pt>
                <c:pt idx="11">
                  <c:v>39478</c:v>
                </c:pt>
                <c:pt idx="12">
                  <c:v>39568</c:v>
                </c:pt>
                <c:pt idx="13">
                  <c:v>39660</c:v>
                </c:pt>
                <c:pt idx="14">
                  <c:v>39752</c:v>
                </c:pt>
                <c:pt idx="15">
                  <c:v>39844</c:v>
                </c:pt>
                <c:pt idx="16">
                  <c:v>39933</c:v>
                </c:pt>
                <c:pt idx="17">
                  <c:v>40025</c:v>
                </c:pt>
                <c:pt idx="18">
                  <c:v>40117</c:v>
                </c:pt>
                <c:pt idx="19">
                  <c:v>40209</c:v>
                </c:pt>
                <c:pt idx="20">
                  <c:v>40298</c:v>
                </c:pt>
                <c:pt idx="21">
                  <c:v>40390</c:v>
                </c:pt>
                <c:pt idx="22">
                  <c:v>40482</c:v>
                </c:pt>
                <c:pt idx="23">
                  <c:v>40574</c:v>
                </c:pt>
                <c:pt idx="24">
                  <c:v>40663</c:v>
                </c:pt>
                <c:pt idx="25">
                  <c:v>40755</c:v>
                </c:pt>
                <c:pt idx="26">
                  <c:v>40847</c:v>
                </c:pt>
                <c:pt idx="27">
                  <c:v>40939</c:v>
                </c:pt>
                <c:pt idx="28">
                  <c:v>41029</c:v>
                </c:pt>
                <c:pt idx="29">
                  <c:v>41121</c:v>
                </c:pt>
                <c:pt idx="30">
                  <c:v>41213</c:v>
                </c:pt>
                <c:pt idx="31">
                  <c:v>41365</c:v>
                </c:pt>
                <c:pt idx="32">
                  <c:v>41435</c:v>
                </c:pt>
                <c:pt idx="33">
                  <c:v>41528</c:v>
                </c:pt>
                <c:pt idx="34">
                  <c:v>41612</c:v>
                </c:pt>
                <c:pt idx="35">
                  <c:v>41728</c:v>
                </c:pt>
                <c:pt idx="36">
                  <c:v>41794</c:v>
                </c:pt>
                <c:pt idx="37">
                  <c:v>41823</c:v>
                </c:pt>
                <c:pt idx="38">
                  <c:v>41976</c:v>
                </c:pt>
                <c:pt idx="39">
                  <c:v>42091</c:v>
                </c:pt>
                <c:pt idx="40">
                  <c:v>42157</c:v>
                </c:pt>
                <c:pt idx="41">
                  <c:v>42241</c:v>
                </c:pt>
                <c:pt idx="42">
                  <c:v>42339</c:v>
                </c:pt>
                <c:pt idx="43">
                  <c:v>42463</c:v>
                </c:pt>
                <c:pt idx="44">
                  <c:v>42522</c:v>
                </c:pt>
                <c:pt idx="45">
                  <c:v>42613</c:v>
                </c:pt>
                <c:pt idx="46">
                  <c:v>42704</c:v>
                </c:pt>
                <c:pt idx="47">
                  <c:v>42827</c:v>
                </c:pt>
                <c:pt idx="48">
                  <c:v>42887</c:v>
                </c:pt>
                <c:pt idx="49">
                  <c:v>42977</c:v>
                </c:pt>
                <c:pt idx="50">
                  <c:v>43075</c:v>
                </c:pt>
                <c:pt idx="51">
                  <c:v>43186</c:v>
                </c:pt>
                <c:pt idx="52">
                  <c:v>43250</c:v>
                </c:pt>
                <c:pt idx="53">
                  <c:v>43341</c:v>
                </c:pt>
                <c:pt idx="54">
                  <c:v>43439</c:v>
                </c:pt>
                <c:pt idx="55">
                  <c:v>43550</c:v>
                </c:pt>
                <c:pt idx="56">
                  <c:v>43613</c:v>
                </c:pt>
                <c:pt idx="57">
                  <c:v>43704</c:v>
                </c:pt>
                <c:pt idx="58">
                  <c:v>43802</c:v>
                </c:pt>
                <c:pt idx="59">
                  <c:v>43915</c:v>
                </c:pt>
                <c:pt idx="60">
                  <c:v>43978</c:v>
                </c:pt>
                <c:pt idx="61">
                  <c:v>44068</c:v>
                </c:pt>
                <c:pt idx="62">
                  <c:v>44167</c:v>
                </c:pt>
                <c:pt idx="63">
                  <c:v>44279</c:v>
                </c:pt>
                <c:pt idx="64">
                  <c:v>44342</c:v>
                </c:pt>
                <c:pt idx="65">
                  <c:v>44433</c:v>
                </c:pt>
                <c:pt idx="66">
                  <c:v>44531</c:v>
                </c:pt>
                <c:pt idx="67">
                  <c:v>44646</c:v>
                </c:pt>
                <c:pt idx="68">
                  <c:v>44706</c:v>
                </c:pt>
                <c:pt idx="69">
                  <c:v>44797</c:v>
                </c:pt>
                <c:pt idx="70">
                  <c:v>44895</c:v>
                </c:pt>
                <c:pt idx="71">
                  <c:v>45012</c:v>
                </c:pt>
                <c:pt idx="72">
                  <c:v>45076</c:v>
                </c:pt>
                <c:pt idx="73">
                  <c:v>45167</c:v>
                </c:pt>
                <c:pt idx="74">
                  <c:v>45265</c:v>
                </c:pt>
                <c:pt idx="75">
                  <c:v>45378</c:v>
                </c:pt>
                <c:pt idx="76">
                  <c:v>45441</c:v>
                </c:pt>
                <c:pt idx="77">
                  <c:v>45532</c:v>
                </c:pt>
                <c:pt idx="78">
                  <c:v>45631</c:v>
                </c:pt>
                <c:pt idx="79">
                  <c:v>45743</c:v>
                </c:pt>
                <c:pt idx="80">
                  <c:v>45806</c:v>
                </c:pt>
                <c:pt idx="81">
                  <c:v>45897</c:v>
                </c:pt>
                <c:pt idx="82">
                  <c:v>45995</c:v>
                </c:pt>
                <c:pt idx="83">
                  <c:v>46108</c:v>
                </c:pt>
                <c:pt idx="84">
                  <c:v>46234</c:v>
                </c:pt>
                <c:pt idx="85">
                  <c:v>46262</c:v>
                </c:pt>
                <c:pt idx="86">
                  <c:v>46360</c:v>
                </c:pt>
                <c:pt idx="87">
                  <c:v>46473</c:v>
                </c:pt>
                <c:pt idx="88">
                  <c:v>46599</c:v>
                </c:pt>
              </c:numCache>
            </c:numRef>
          </c:cat>
          <c:val>
            <c:numRef>
              <c:f>'ULTA Time Series Reg'!$H$5:$H$93</c:f>
              <c:numCache>
                <c:formatCode>_(* #,##0_);_(* \(#,##0\);_(* "-"??_);_(@_)</c:formatCode>
                <c:ptCount val="89"/>
                <c:pt idx="0">
                  <c:v>-366656.29965156876</c:v>
                </c:pt>
                <c:pt idx="1">
                  <c:v>-384535.9186991874</c:v>
                </c:pt>
                <c:pt idx="2">
                  <c:v>-356984.79181184707</c:v>
                </c:pt>
                <c:pt idx="3">
                  <c:v>57511.20818815293</c:v>
                </c:pt>
                <c:pt idx="4">
                  <c:v>-217167.92682926901</c:v>
                </c:pt>
                <c:pt idx="5">
                  <c:v>-235047.54587688769</c:v>
                </c:pt>
                <c:pt idx="6">
                  <c:v>-207496.41898954738</c:v>
                </c:pt>
                <c:pt idx="7">
                  <c:v>206999.58101045265</c:v>
                </c:pt>
                <c:pt idx="8">
                  <c:v>-67679.554006969323</c:v>
                </c:pt>
                <c:pt idx="9">
                  <c:v>-85559.173054587969</c:v>
                </c:pt>
                <c:pt idx="10">
                  <c:v>-58008.04616724763</c:v>
                </c:pt>
                <c:pt idx="11">
                  <c:v>356487.95383275236</c:v>
                </c:pt>
                <c:pt idx="12">
                  <c:v>81808.818815330393</c:v>
                </c:pt>
                <c:pt idx="13">
                  <c:v>63929.199767711754</c:v>
                </c:pt>
                <c:pt idx="14">
                  <c:v>91480.326655052078</c:v>
                </c:pt>
                <c:pt idx="15">
                  <c:v>505976.32665505208</c:v>
                </c:pt>
                <c:pt idx="16">
                  <c:v>231297.19163763011</c:v>
                </c:pt>
                <c:pt idx="17">
                  <c:v>213417.5725900114</c:v>
                </c:pt>
                <c:pt idx="18">
                  <c:v>240968.69947735179</c:v>
                </c:pt>
                <c:pt idx="19">
                  <c:v>655464.69947735174</c:v>
                </c:pt>
                <c:pt idx="20">
                  <c:v>380785.56445992982</c:v>
                </c:pt>
                <c:pt idx="21">
                  <c:v>362905.94541231124</c:v>
                </c:pt>
                <c:pt idx="22">
                  <c:v>390457.07229965151</c:v>
                </c:pt>
                <c:pt idx="23">
                  <c:v>804953.07229965157</c:v>
                </c:pt>
                <c:pt idx="24">
                  <c:v>530273.93728222954</c:v>
                </c:pt>
                <c:pt idx="25">
                  <c:v>512394.31823461084</c:v>
                </c:pt>
                <c:pt idx="26">
                  <c:v>539945.44512195128</c:v>
                </c:pt>
                <c:pt idx="27">
                  <c:v>954441.44512195117</c:v>
                </c:pt>
                <c:pt idx="28">
                  <c:v>679762.31010452937</c:v>
                </c:pt>
                <c:pt idx="29">
                  <c:v>661882.69105691067</c:v>
                </c:pt>
                <c:pt idx="30">
                  <c:v>689433.817944251</c:v>
                </c:pt>
                <c:pt idx="31">
                  <c:v>1103929.817944251</c:v>
                </c:pt>
                <c:pt idx="32">
                  <c:v>829250.68292682897</c:v>
                </c:pt>
                <c:pt idx="33">
                  <c:v>811371.06387921027</c:v>
                </c:pt>
                <c:pt idx="34">
                  <c:v>838922.1907665506</c:v>
                </c:pt>
                <c:pt idx="35">
                  <c:v>1253418.1907665506</c:v>
                </c:pt>
                <c:pt idx="36">
                  <c:v>978739.05574912881</c:v>
                </c:pt>
                <c:pt idx="37">
                  <c:v>960859.4367015101</c:v>
                </c:pt>
                <c:pt idx="38">
                  <c:v>988410.56358885043</c:v>
                </c:pt>
                <c:pt idx="39">
                  <c:v>1402906.5635888504</c:v>
                </c:pt>
                <c:pt idx="40">
                  <c:v>1128227.4285714284</c:v>
                </c:pt>
                <c:pt idx="41">
                  <c:v>1110347.8095238097</c:v>
                </c:pt>
                <c:pt idx="42">
                  <c:v>1137898.93641115</c:v>
                </c:pt>
                <c:pt idx="43">
                  <c:v>1552394.9364111503</c:v>
                </c:pt>
                <c:pt idx="44">
                  <c:v>1277715.8013937282</c:v>
                </c:pt>
                <c:pt idx="45">
                  <c:v>1259836.1823461095</c:v>
                </c:pt>
                <c:pt idx="46">
                  <c:v>1287387.3092334499</c:v>
                </c:pt>
                <c:pt idx="47">
                  <c:v>1701883.3092334499</c:v>
                </c:pt>
                <c:pt idx="48">
                  <c:v>1427204.1742160278</c:v>
                </c:pt>
                <c:pt idx="49">
                  <c:v>1409324.5551684091</c:v>
                </c:pt>
                <c:pt idx="50">
                  <c:v>1436875.6820557495</c:v>
                </c:pt>
                <c:pt idx="51">
                  <c:v>1851371.6820557495</c:v>
                </c:pt>
                <c:pt idx="52">
                  <c:v>1576692.5470383277</c:v>
                </c:pt>
                <c:pt idx="53">
                  <c:v>1558812.927990709</c:v>
                </c:pt>
                <c:pt idx="54">
                  <c:v>1586364.0548780493</c:v>
                </c:pt>
                <c:pt idx="55">
                  <c:v>2000860.0548780493</c:v>
                </c:pt>
                <c:pt idx="56">
                  <c:v>1726180.9198606275</c:v>
                </c:pt>
                <c:pt idx="57">
                  <c:v>1708301.3008130088</c:v>
                </c:pt>
                <c:pt idx="58">
                  <c:v>1735852.4277003491</c:v>
                </c:pt>
                <c:pt idx="59">
                  <c:v>2150348.4277003491</c:v>
                </c:pt>
                <c:pt idx="60">
                  <c:v>1875669.2926829271</c:v>
                </c:pt>
                <c:pt idx="61">
                  <c:v>1857789.6736353084</c:v>
                </c:pt>
                <c:pt idx="62">
                  <c:v>1885340.8005226487</c:v>
                </c:pt>
                <c:pt idx="63">
                  <c:v>2299836.8005226487</c:v>
                </c:pt>
                <c:pt idx="64">
                  <c:v>2025157.6655052267</c:v>
                </c:pt>
                <c:pt idx="65">
                  <c:v>2007278.046457608</c:v>
                </c:pt>
                <c:pt idx="66">
                  <c:v>2034829.1733449483</c:v>
                </c:pt>
                <c:pt idx="67">
                  <c:v>2449325.1733449483</c:v>
                </c:pt>
                <c:pt idx="68">
                  <c:v>2174646.0383275263</c:v>
                </c:pt>
                <c:pt idx="69">
                  <c:v>2156766.4192799078</c:v>
                </c:pt>
                <c:pt idx="70">
                  <c:v>2184317.5461672479</c:v>
                </c:pt>
                <c:pt idx="71">
                  <c:v>2598813.5461672479</c:v>
                </c:pt>
                <c:pt idx="72">
                  <c:v>2324134.4111498264</c:v>
                </c:pt>
                <c:pt idx="73">
                  <c:v>2306254.7921022079</c:v>
                </c:pt>
                <c:pt idx="74">
                  <c:v>2333805.918989548</c:v>
                </c:pt>
                <c:pt idx="75">
                  <c:v>2748301.918989548</c:v>
                </c:pt>
                <c:pt idx="76">
                  <c:v>2473622.783972126</c:v>
                </c:pt>
                <c:pt idx="77">
                  <c:v>2455743.1649245075</c:v>
                </c:pt>
                <c:pt idx="78">
                  <c:v>2483294.2918118476</c:v>
                </c:pt>
                <c:pt idx="79">
                  <c:v>2897790.2918118476</c:v>
                </c:pt>
                <c:pt idx="80">
                  <c:v>2623111.1567944256</c:v>
                </c:pt>
                <c:pt idx="81">
                  <c:v>2605231.5377468071</c:v>
                </c:pt>
                <c:pt idx="82">
                  <c:v>2632782.6646341472</c:v>
                </c:pt>
                <c:pt idx="83" formatCode="_(* #,##0.00_);_(* \(#,##0.00\);_(* &quot;-&quot;??_);_(@_)">
                  <c:v>3047278.6646341472</c:v>
                </c:pt>
                <c:pt idx="84" formatCode="_(* #,##0.00_);_(* \(#,##0.00\);_(* &quot;-&quot;??_);_(@_)">
                  <c:v>2772599.5296167252</c:v>
                </c:pt>
                <c:pt idx="85" formatCode="_(* #,##0.00_);_(* \(#,##0.00\);_(* &quot;-&quot;??_);_(@_)">
                  <c:v>2754719.9105691067</c:v>
                </c:pt>
                <c:pt idx="86" formatCode="_(* #,##0.00_);_(* \(#,##0.00\);_(* &quot;-&quot;??_);_(@_)">
                  <c:v>2782271.0374564468</c:v>
                </c:pt>
                <c:pt idx="87" formatCode="_(* #,##0.00_);_(* \(#,##0.00\);_(* &quot;-&quot;??_);_(@_)">
                  <c:v>3196767.0374564473</c:v>
                </c:pt>
                <c:pt idx="88" formatCode="_(* #,##0.00_);_(* \(#,##0.00\);_(* &quot;-&quot;??_);_(@_)">
                  <c:v>2922087.9024390252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32-41A9-9740-8B03BE0FC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042303"/>
        <c:axId val="1070042783"/>
      </c:lineChart>
      <c:dateAx>
        <c:axId val="107004230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042783"/>
        <c:crosses val="autoZero"/>
        <c:auto val="1"/>
        <c:lblOffset val="100"/>
        <c:baseTimeUnit val="months"/>
      </c:dateAx>
      <c:valAx>
        <c:axId val="107004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04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'ULTA ETS'!$C$4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2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'ULTA ETS'!$B$5:$B$100</c:f>
              <c:strCache>
                <c:ptCount val="91"/>
                <c:pt idx="0">
                  <c:v>4/30/2005</c:v>
                </c:pt>
                <c:pt idx="1">
                  <c:v>7/31/2005</c:v>
                </c:pt>
                <c:pt idx="2">
                  <c:v>10/31/2005</c:v>
                </c:pt>
                <c:pt idx="3">
                  <c:v>1/31/2006</c:v>
                </c:pt>
                <c:pt idx="4">
                  <c:v>4/30/2006</c:v>
                </c:pt>
                <c:pt idx="5">
                  <c:v>7/31/2006</c:v>
                </c:pt>
                <c:pt idx="6">
                  <c:v>10/31/2006</c:v>
                </c:pt>
                <c:pt idx="7">
                  <c:v>1/31/2007</c:v>
                </c:pt>
                <c:pt idx="8">
                  <c:v>4/30/2007</c:v>
                </c:pt>
                <c:pt idx="9">
                  <c:v>7/30/2007</c:v>
                </c:pt>
                <c:pt idx="10">
                  <c:v>10/31/2007</c:v>
                </c:pt>
                <c:pt idx="11">
                  <c:v>1/31/2008</c:v>
                </c:pt>
                <c:pt idx="12">
                  <c:v>4/30/2008</c:v>
                </c:pt>
                <c:pt idx="13">
                  <c:v>7/31/2008</c:v>
                </c:pt>
                <c:pt idx="14">
                  <c:v>10/31/2008</c:v>
                </c:pt>
                <c:pt idx="15">
                  <c:v>1/31/2009</c:v>
                </c:pt>
                <c:pt idx="16">
                  <c:v>4/30/2009</c:v>
                </c:pt>
                <c:pt idx="17">
                  <c:v>7/31/2009</c:v>
                </c:pt>
                <c:pt idx="18">
                  <c:v>10/31/2009</c:v>
                </c:pt>
                <c:pt idx="19">
                  <c:v>1/31/2010</c:v>
                </c:pt>
                <c:pt idx="20">
                  <c:v>4/30/2010</c:v>
                </c:pt>
                <c:pt idx="21">
                  <c:v>7/31/2010</c:v>
                </c:pt>
                <c:pt idx="22">
                  <c:v>10/31/2010</c:v>
                </c:pt>
                <c:pt idx="23">
                  <c:v>1/31/2011</c:v>
                </c:pt>
                <c:pt idx="24">
                  <c:v>4/30/2011</c:v>
                </c:pt>
                <c:pt idx="25">
                  <c:v>7/31/2011</c:v>
                </c:pt>
                <c:pt idx="26">
                  <c:v>10/31/2011</c:v>
                </c:pt>
                <c:pt idx="27">
                  <c:v>1/31/2012</c:v>
                </c:pt>
                <c:pt idx="28">
                  <c:v>4/30/2012</c:v>
                </c:pt>
                <c:pt idx="29">
                  <c:v>7/31/2012</c:v>
                </c:pt>
                <c:pt idx="30">
                  <c:v>10/31/2012</c:v>
                </c:pt>
                <c:pt idx="31">
                  <c:v>4/1/2013</c:v>
                </c:pt>
                <c:pt idx="32">
                  <c:v>6/10/2013</c:v>
                </c:pt>
                <c:pt idx="33">
                  <c:v>9/11/2013</c:v>
                </c:pt>
                <c:pt idx="34">
                  <c:v>12/4/2013</c:v>
                </c:pt>
                <c:pt idx="35">
                  <c:v>3/30/2014</c:v>
                </c:pt>
                <c:pt idx="36">
                  <c:v>6/4/2014</c:v>
                </c:pt>
                <c:pt idx="37">
                  <c:v>7/3/2014</c:v>
                </c:pt>
                <c:pt idx="38">
                  <c:v>12/3/2014</c:v>
                </c:pt>
                <c:pt idx="39">
                  <c:v>3/28/2015</c:v>
                </c:pt>
                <c:pt idx="40">
                  <c:v>6/2/2015</c:v>
                </c:pt>
                <c:pt idx="41">
                  <c:v>8/25/2015</c:v>
                </c:pt>
                <c:pt idx="42">
                  <c:v>12/1/2015</c:v>
                </c:pt>
                <c:pt idx="43">
                  <c:v>4/3/2016</c:v>
                </c:pt>
                <c:pt idx="44">
                  <c:v>6/1/2016</c:v>
                </c:pt>
                <c:pt idx="45">
                  <c:v>8/31/2016</c:v>
                </c:pt>
                <c:pt idx="46">
                  <c:v>11/30/2016</c:v>
                </c:pt>
                <c:pt idx="47">
                  <c:v>4/2/2017</c:v>
                </c:pt>
                <c:pt idx="48">
                  <c:v>6/1/2017</c:v>
                </c:pt>
                <c:pt idx="49">
                  <c:v>8/30/2017</c:v>
                </c:pt>
                <c:pt idx="50">
                  <c:v>12/6/2017</c:v>
                </c:pt>
                <c:pt idx="51">
                  <c:v>3/27/2018</c:v>
                </c:pt>
                <c:pt idx="52">
                  <c:v>5/30/2018</c:v>
                </c:pt>
                <c:pt idx="53">
                  <c:v>8/29/2018</c:v>
                </c:pt>
                <c:pt idx="54">
                  <c:v>12/5/2018</c:v>
                </c:pt>
                <c:pt idx="55">
                  <c:v>3/26/2019</c:v>
                </c:pt>
                <c:pt idx="56">
                  <c:v>5/28/2019</c:v>
                </c:pt>
                <c:pt idx="57">
                  <c:v>8/27/2019</c:v>
                </c:pt>
                <c:pt idx="58">
                  <c:v>12/3/2019</c:v>
                </c:pt>
                <c:pt idx="59">
                  <c:v>3/25/2020</c:v>
                </c:pt>
                <c:pt idx="60">
                  <c:v>5/27/2020</c:v>
                </c:pt>
                <c:pt idx="61">
                  <c:v>8/25/2020</c:v>
                </c:pt>
                <c:pt idx="62">
                  <c:v>12/2/2020</c:v>
                </c:pt>
                <c:pt idx="63">
                  <c:v>3/24/2021</c:v>
                </c:pt>
                <c:pt idx="64">
                  <c:v>5/26/2021</c:v>
                </c:pt>
                <c:pt idx="65">
                  <c:v>8/25/2021</c:v>
                </c:pt>
                <c:pt idx="66">
                  <c:v>12/1/2021</c:v>
                </c:pt>
                <c:pt idx="67">
                  <c:v>3/26/2022</c:v>
                </c:pt>
                <c:pt idx="68">
                  <c:v>5/25/2022</c:v>
                </c:pt>
                <c:pt idx="69">
                  <c:v>8/24/2022</c:v>
                </c:pt>
                <c:pt idx="70">
                  <c:v>11/30/2022</c:v>
                </c:pt>
                <c:pt idx="71">
                  <c:v>3/27/2023</c:v>
                </c:pt>
                <c:pt idx="72">
                  <c:v>5/30/2023</c:v>
                </c:pt>
                <c:pt idx="73">
                  <c:v>8/29/2023</c:v>
                </c:pt>
                <c:pt idx="74">
                  <c:v>12/5/2023</c:v>
                </c:pt>
                <c:pt idx="75">
                  <c:v>3/27/2024</c:v>
                </c:pt>
                <c:pt idx="76">
                  <c:v>5/29/2024</c:v>
                </c:pt>
                <c:pt idx="77">
                  <c:v>8/28/2024</c:v>
                </c:pt>
                <c:pt idx="78">
                  <c:v>12/5/2024</c:v>
                </c:pt>
                <c:pt idx="79">
                  <c:v>3/27/2025</c:v>
                </c:pt>
                <c:pt idx="80">
                  <c:v>5/29/2025</c:v>
                </c:pt>
                <c:pt idx="81">
                  <c:v>8/28/2025</c:v>
                </c:pt>
                <c:pt idx="82">
                  <c:v>12/4/2025</c:v>
                </c:pt>
                <c:pt idx="83">
                  <c:v>3/27/2026</c:v>
                </c:pt>
                <c:pt idx="84">
                  <c:v>7/31/2026</c:v>
                </c:pt>
                <c:pt idx="85">
                  <c:v>8/28/2026</c:v>
                </c:pt>
                <c:pt idx="86">
                  <c:v>12/4/2026</c:v>
                </c:pt>
                <c:pt idx="87">
                  <c:v>3/27/2027</c:v>
                </c:pt>
                <c:pt idx="88">
                  <c:v>7/31/2027</c:v>
                </c:pt>
                <c:pt idx="90">
                  <c:v>*All figures in thousands of dollars</c:v>
                </c:pt>
              </c:strCache>
            </c:strRef>
          </c:cat>
          <c:val>
            <c:numRef>
              <c:f>'ULTA ETS'!$C$5:$C$98</c:f>
              <c:numCache>
                <c:formatCode>_(* #,##0_);_(* \(#,##0\);_(* "-"??_);_(@_)</c:formatCode>
                <c:ptCount val="94"/>
                <c:pt idx="0">
                  <c:v>144769</c:v>
                </c:pt>
                <c:pt idx="1">
                  <c:v>144769</c:v>
                </c:pt>
                <c:pt idx="2">
                  <c:v>144769</c:v>
                </c:pt>
                <c:pt idx="3">
                  <c:v>144768</c:v>
                </c:pt>
                <c:pt idx="4">
                  <c:v>159468</c:v>
                </c:pt>
                <c:pt idx="5">
                  <c:v>162558</c:v>
                </c:pt>
                <c:pt idx="6">
                  <c:v>216544</c:v>
                </c:pt>
                <c:pt idx="7">
                  <c:v>216543</c:v>
                </c:pt>
                <c:pt idx="8">
                  <c:v>194113</c:v>
                </c:pt>
                <c:pt idx="9">
                  <c:v>200449</c:v>
                </c:pt>
                <c:pt idx="10">
                  <c:v>208235</c:v>
                </c:pt>
                <c:pt idx="11">
                  <c:v>309344</c:v>
                </c:pt>
                <c:pt idx="12">
                  <c:v>239298</c:v>
                </c:pt>
                <c:pt idx="13">
                  <c:v>249111</c:v>
                </c:pt>
                <c:pt idx="14">
                  <c:v>254843</c:v>
                </c:pt>
                <c:pt idx="15">
                  <c:v>341394</c:v>
                </c:pt>
                <c:pt idx="16">
                  <c:v>268825</c:v>
                </c:pt>
                <c:pt idx="17">
                  <c:v>273539</c:v>
                </c:pt>
                <c:pt idx="18">
                  <c:v>284043</c:v>
                </c:pt>
                <c:pt idx="19">
                  <c:v>396364</c:v>
                </c:pt>
                <c:pt idx="20">
                  <c:v>320196</c:v>
                </c:pt>
                <c:pt idx="21">
                  <c:v>321804</c:v>
                </c:pt>
                <c:pt idx="22">
                  <c:v>339179</c:v>
                </c:pt>
                <c:pt idx="23">
                  <c:v>473659</c:v>
                </c:pt>
                <c:pt idx="24">
                  <c:v>386006</c:v>
                </c:pt>
                <c:pt idx="25">
                  <c:v>394567</c:v>
                </c:pt>
                <c:pt idx="26">
                  <c:v>413067</c:v>
                </c:pt>
                <c:pt idx="27">
                  <c:v>582511</c:v>
                </c:pt>
                <c:pt idx="28">
                  <c:v>474098</c:v>
                </c:pt>
                <c:pt idx="29">
                  <c:v>481683</c:v>
                </c:pt>
                <c:pt idx="30">
                  <c:v>505640</c:v>
                </c:pt>
                <c:pt idx="31">
                  <c:v>758835</c:v>
                </c:pt>
                <c:pt idx="32">
                  <c:v>582712</c:v>
                </c:pt>
                <c:pt idx="33">
                  <c:v>600998</c:v>
                </c:pt>
                <c:pt idx="34">
                  <c:v>618781</c:v>
                </c:pt>
                <c:pt idx="35">
                  <c:v>868082</c:v>
                </c:pt>
                <c:pt idx="36">
                  <c:v>713770</c:v>
                </c:pt>
                <c:pt idx="37">
                  <c:v>734236</c:v>
                </c:pt>
                <c:pt idx="38">
                  <c:v>745722</c:v>
                </c:pt>
                <c:pt idx="39">
                  <c:v>1047641</c:v>
                </c:pt>
                <c:pt idx="40">
                  <c:v>868122</c:v>
                </c:pt>
                <c:pt idx="41">
                  <c:v>876999</c:v>
                </c:pt>
                <c:pt idx="42">
                  <c:v>910700</c:v>
                </c:pt>
                <c:pt idx="43">
                  <c:v>1268295</c:v>
                </c:pt>
                <c:pt idx="44">
                  <c:v>1073716</c:v>
                </c:pt>
                <c:pt idx="45">
                  <c:v>1069215</c:v>
                </c:pt>
                <c:pt idx="46">
                  <c:v>1131232</c:v>
                </c:pt>
                <c:pt idx="47">
                  <c:v>1580574</c:v>
                </c:pt>
                <c:pt idx="48">
                  <c:v>1314879</c:v>
                </c:pt>
                <c:pt idx="49">
                  <c:v>1289854</c:v>
                </c:pt>
                <c:pt idx="50">
                  <c:v>1342181</c:v>
                </c:pt>
                <c:pt idx="51">
                  <c:v>1937592</c:v>
                </c:pt>
                <c:pt idx="52">
                  <c:v>1543667</c:v>
                </c:pt>
                <c:pt idx="53">
                  <c:v>1488221</c:v>
                </c:pt>
                <c:pt idx="54">
                  <c:v>1560011</c:v>
                </c:pt>
                <c:pt idx="55">
                  <c:v>2124716</c:v>
                </c:pt>
                <c:pt idx="56">
                  <c:v>1743029</c:v>
                </c:pt>
                <c:pt idx="57">
                  <c:v>1666607</c:v>
                </c:pt>
                <c:pt idx="58">
                  <c:v>1682514</c:v>
                </c:pt>
                <c:pt idx="59">
                  <c:v>2305918</c:v>
                </c:pt>
                <c:pt idx="60">
                  <c:v>1173210</c:v>
                </c:pt>
                <c:pt idx="61">
                  <c:v>1228009</c:v>
                </c:pt>
                <c:pt idx="62">
                  <c:v>1552033</c:v>
                </c:pt>
                <c:pt idx="63">
                  <c:v>2198701</c:v>
                </c:pt>
                <c:pt idx="64">
                  <c:v>1938519</c:v>
                </c:pt>
                <c:pt idx="65">
                  <c:v>1967207</c:v>
                </c:pt>
                <c:pt idx="66">
                  <c:v>1995775</c:v>
                </c:pt>
                <c:pt idx="67">
                  <c:v>2729388</c:v>
                </c:pt>
                <c:pt idx="68">
                  <c:v>2345901</c:v>
                </c:pt>
                <c:pt idx="69">
                  <c:v>2297113</c:v>
                </c:pt>
                <c:pt idx="70">
                  <c:v>2338793</c:v>
                </c:pt>
                <c:pt idx="71">
                  <c:v>3226773</c:v>
                </c:pt>
                <c:pt idx="72">
                  <c:v>2634263</c:v>
                </c:pt>
                <c:pt idx="73">
                  <c:v>2529809</c:v>
                </c:pt>
                <c:pt idx="74">
                  <c:v>2488933</c:v>
                </c:pt>
                <c:pt idx="75">
                  <c:v>3554298</c:v>
                </c:pt>
                <c:pt idx="76">
                  <c:v>2725848</c:v>
                </c:pt>
                <c:pt idx="77">
                  <c:v>2552087</c:v>
                </c:pt>
                <c:pt idx="78">
                  <c:v>2530100</c:v>
                </c:pt>
                <c:pt idx="79">
                  <c:v>3487619</c:v>
                </c:pt>
                <c:pt idx="80">
                  <c:v>2848367</c:v>
                </c:pt>
                <c:pt idx="81">
                  <c:v>2788469</c:v>
                </c:pt>
                <c:pt idx="82">
                  <c:v>2857623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C-459B-A779-97FAB775E9D3}"/>
            </c:ext>
          </c:extLst>
        </c:ser>
        <c:ser>
          <c:idx val="2"/>
          <c:order val="1"/>
          <c:tx>
            <c:strRef>
              <c:f>'ULTA ETS'!$D$4</c:f>
              <c:strCache>
                <c:ptCount val="1"/>
                <c:pt idx="0">
                  <c:v>Forecast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'ULTA ETS'!$B$5:$B$100</c:f>
              <c:strCache>
                <c:ptCount val="91"/>
                <c:pt idx="0">
                  <c:v>4/30/2005</c:v>
                </c:pt>
                <c:pt idx="1">
                  <c:v>7/31/2005</c:v>
                </c:pt>
                <c:pt idx="2">
                  <c:v>10/31/2005</c:v>
                </c:pt>
                <c:pt idx="3">
                  <c:v>1/31/2006</c:v>
                </c:pt>
                <c:pt idx="4">
                  <c:v>4/30/2006</c:v>
                </c:pt>
                <c:pt idx="5">
                  <c:v>7/31/2006</c:v>
                </c:pt>
                <c:pt idx="6">
                  <c:v>10/31/2006</c:v>
                </c:pt>
                <c:pt idx="7">
                  <c:v>1/31/2007</c:v>
                </c:pt>
                <c:pt idx="8">
                  <c:v>4/30/2007</c:v>
                </c:pt>
                <c:pt idx="9">
                  <c:v>7/30/2007</c:v>
                </c:pt>
                <c:pt idx="10">
                  <c:v>10/31/2007</c:v>
                </c:pt>
                <c:pt idx="11">
                  <c:v>1/31/2008</c:v>
                </c:pt>
                <c:pt idx="12">
                  <c:v>4/30/2008</c:v>
                </c:pt>
                <c:pt idx="13">
                  <c:v>7/31/2008</c:v>
                </c:pt>
                <c:pt idx="14">
                  <c:v>10/31/2008</c:v>
                </c:pt>
                <c:pt idx="15">
                  <c:v>1/31/2009</c:v>
                </c:pt>
                <c:pt idx="16">
                  <c:v>4/30/2009</c:v>
                </c:pt>
                <c:pt idx="17">
                  <c:v>7/31/2009</c:v>
                </c:pt>
                <c:pt idx="18">
                  <c:v>10/31/2009</c:v>
                </c:pt>
                <c:pt idx="19">
                  <c:v>1/31/2010</c:v>
                </c:pt>
                <c:pt idx="20">
                  <c:v>4/30/2010</c:v>
                </c:pt>
                <c:pt idx="21">
                  <c:v>7/31/2010</c:v>
                </c:pt>
                <c:pt idx="22">
                  <c:v>10/31/2010</c:v>
                </c:pt>
                <c:pt idx="23">
                  <c:v>1/31/2011</c:v>
                </c:pt>
                <c:pt idx="24">
                  <c:v>4/30/2011</c:v>
                </c:pt>
                <c:pt idx="25">
                  <c:v>7/31/2011</c:v>
                </c:pt>
                <c:pt idx="26">
                  <c:v>10/31/2011</c:v>
                </c:pt>
                <c:pt idx="27">
                  <c:v>1/31/2012</c:v>
                </c:pt>
                <c:pt idx="28">
                  <c:v>4/30/2012</c:v>
                </c:pt>
                <c:pt idx="29">
                  <c:v>7/31/2012</c:v>
                </c:pt>
                <c:pt idx="30">
                  <c:v>10/31/2012</c:v>
                </c:pt>
                <c:pt idx="31">
                  <c:v>4/1/2013</c:v>
                </c:pt>
                <c:pt idx="32">
                  <c:v>6/10/2013</c:v>
                </c:pt>
                <c:pt idx="33">
                  <c:v>9/11/2013</c:v>
                </c:pt>
                <c:pt idx="34">
                  <c:v>12/4/2013</c:v>
                </c:pt>
                <c:pt idx="35">
                  <c:v>3/30/2014</c:v>
                </c:pt>
                <c:pt idx="36">
                  <c:v>6/4/2014</c:v>
                </c:pt>
                <c:pt idx="37">
                  <c:v>7/3/2014</c:v>
                </c:pt>
                <c:pt idx="38">
                  <c:v>12/3/2014</c:v>
                </c:pt>
                <c:pt idx="39">
                  <c:v>3/28/2015</c:v>
                </c:pt>
                <c:pt idx="40">
                  <c:v>6/2/2015</c:v>
                </c:pt>
                <c:pt idx="41">
                  <c:v>8/25/2015</c:v>
                </c:pt>
                <c:pt idx="42">
                  <c:v>12/1/2015</c:v>
                </c:pt>
                <c:pt idx="43">
                  <c:v>4/3/2016</c:v>
                </c:pt>
                <c:pt idx="44">
                  <c:v>6/1/2016</c:v>
                </c:pt>
                <c:pt idx="45">
                  <c:v>8/31/2016</c:v>
                </c:pt>
                <c:pt idx="46">
                  <c:v>11/30/2016</c:v>
                </c:pt>
                <c:pt idx="47">
                  <c:v>4/2/2017</c:v>
                </c:pt>
                <c:pt idx="48">
                  <c:v>6/1/2017</c:v>
                </c:pt>
                <c:pt idx="49">
                  <c:v>8/30/2017</c:v>
                </c:pt>
                <c:pt idx="50">
                  <c:v>12/6/2017</c:v>
                </c:pt>
                <c:pt idx="51">
                  <c:v>3/27/2018</c:v>
                </c:pt>
                <c:pt idx="52">
                  <c:v>5/30/2018</c:v>
                </c:pt>
                <c:pt idx="53">
                  <c:v>8/29/2018</c:v>
                </c:pt>
                <c:pt idx="54">
                  <c:v>12/5/2018</c:v>
                </c:pt>
                <c:pt idx="55">
                  <c:v>3/26/2019</c:v>
                </c:pt>
                <c:pt idx="56">
                  <c:v>5/28/2019</c:v>
                </c:pt>
                <c:pt idx="57">
                  <c:v>8/27/2019</c:v>
                </c:pt>
                <c:pt idx="58">
                  <c:v>12/3/2019</c:v>
                </c:pt>
                <c:pt idx="59">
                  <c:v>3/25/2020</c:v>
                </c:pt>
                <c:pt idx="60">
                  <c:v>5/27/2020</c:v>
                </c:pt>
                <c:pt idx="61">
                  <c:v>8/25/2020</c:v>
                </c:pt>
                <c:pt idx="62">
                  <c:v>12/2/2020</c:v>
                </c:pt>
                <c:pt idx="63">
                  <c:v>3/24/2021</c:v>
                </c:pt>
                <c:pt idx="64">
                  <c:v>5/26/2021</c:v>
                </c:pt>
                <c:pt idx="65">
                  <c:v>8/25/2021</c:v>
                </c:pt>
                <c:pt idx="66">
                  <c:v>12/1/2021</c:v>
                </c:pt>
                <c:pt idx="67">
                  <c:v>3/26/2022</c:v>
                </c:pt>
                <c:pt idx="68">
                  <c:v>5/25/2022</c:v>
                </c:pt>
                <c:pt idx="69">
                  <c:v>8/24/2022</c:v>
                </c:pt>
                <c:pt idx="70">
                  <c:v>11/30/2022</c:v>
                </c:pt>
                <c:pt idx="71">
                  <c:v>3/27/2023</c:v>
                </c:pt>
                <c:pt idx="72">
                  <c:v>5/30/2023</c:v>
                </c:pt>
                <c:pt idx="73">
                  <c:v>8/29/2023</c:v>
                </c:pt>
                <c:pt idx="74">
                  <c:v>12/5/2023</c:v>
                </c:pt>
                <c:pt idx="75">
                  <c:v>3/27/2024</c:v>
                </c:pt>
                <c:pt idx="76">
                  <c:v>5/29/2024</c:v>
                </c:pt>
                <c:pt idx="77">
                  <c:v>8/28/2024</c:v>
                </c:pt>
                <c:pt idx="78">
                  <c:v>12/5/2024</c:v>
                </c:pt>
                <c:pt idx="79">
                  <c:v>3/27/2025</c:v>
                </c:pt>
                <c:pt idx="80">
                  <c:v>5/29/2025</c:v>
                </c:pt>
                <c:pt idx="81">
                  <c:v>8/28/2025</c:v>
                </c:pt>
                <c:pt idx="82">
                  <c:v>12/4/2025</c:v>
                </c:pt>
                <c:pt idx="83">
                  <c:v>3/27/2026</c:v>
                </c:pt>
                <c:pt idx="84">
                  <c:v>7/31/2026</c:v>
                </c:pt>
                <c:pt idx="85">
                  <c:v>8/28/2026</c:v>
                </c:pt>
                <c:pt idx="86">
                  <c:v>12/4/2026</c:v>
                </c:pt>
                <c:pt idx="87">
                  <c:v>3/27/2027</c:v>
                </c:pt>
                <c:pt idx="88">
                  <c:v>7/31/2027</c:v>
                </c:pt>
                <c:pt idx="90">
                  <c:v>*All figures in thousands of dollars</c:v>
                </c:pt>
              </c:strCache>
            </c:strRef>
          </c:cat>
          <c:val>
            <c:numRef>
              <c:f>'ULTA ETS'!$D$5:$D$98</c:f>
              <c:numCache>
                <c:formatCode>General</c:formatCode>
                <c:ptCount val="94"/>
                <c:pt idx="82" formatCode="_(* #,##0_);_(* \(#,##0\);_(* &quot;-&quot;??_);_(@_)">
                  <c:v>2857623</c:v>
                </c:pt>
                <c:pt idx="83" formatCode="_(* #,##0_);_(* \(#,##0\);_(* &quot;-&quot;??_);_(@_)">
                  <c:v>3124932.9339065203</c:v>
                </c:pt>
                <c:pt idx="84" formatCode="_(* #,##0_);_(* \(#,##0\);_(* &quot;-&quot;??_);_(@_)">
                  <c:v>3015598.04279949</c:v>
                </c:pt>
                <c:pt idx="85" formatCode="_(* #,##0_);_(* \(#,##0\);_(* &quot;-&quot;??_);_(@_)">
                  <c:v>2925789.2758325301</c:v>
                </c:pt>
                <c:pt idx="86" formatCode="_(* #,##0_);_(* \(#,##0\);_(* &quot;-&quot;??_);_(@_)">
                  <c:v>3043106.1481397697</c:v>
                </c:pt>
                <c:pt idx="87" formatCode="_(* #,##0_);_(* \(#,##0\);_(* &quot;-&quot;??_);_(@_)">
                  <c:v>3302646.6188756726</c:v>
                </c:pt>
                <c:pt idx="88" formatCode="_(* #,##0_);_(* \(#,##0\);_(* &quot;-&quot;??_);_(@_)">
                  <c:v>3193311.7277686424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C-459B-A779-97FAB775E9D3}"/>
            </c:ext>
          </c:extLst>
        </c:ser>
        <c:ser>
          <c:idx val="3"/>
          <c:order val="2"/>
          <c:tx>
            <c:strRef>
              <c:f>'ULTA ETS'!$E$4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34925" cap="rnd">
              <a:solidFill>
                <a:schemeClr val="accent2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'ULTA ETS'!$B$5:$B$100</c:f>
              <c:strCache>
                <c:ptCount val="91"/>
                <c:pt idx="0">
                  <c:v>4/30/2005</c:v>
                </c:pt>
                <c:pt idx="1">
                  <c:v>7/31/2005</c:v>
                </c:pt>
                <c:pt idx="2">
                  <c:v>10/31/2005</c:v>
                </c:pt>
                <c:pt idx="3">
                  <c:v>1/31/2006</c:v>
                </c:pt>
                <c:pt idx="4">
                  <c:v>4/30/2006</c:v>
                </c:pt>
                <c:pt idx="5">
                  <c:v>7/31/2006</c:v>
                </c:pt>
                <c:pt idx="6">
                  <c:v>10/31/2006</c:v>
                </c:pt>
                <c:pt idx="7">
                  <c:v>1/31/2007</c:v>
                </c:pt>
                <c:pt idx="8">
                  <c:v>4/30/2007</c:v>
                </c:pt>
                <c:pt idx="9">
                  <c:v>7/30/2007</c:v>
                </c:pt>
                <c:pt idx="10">
                  <c:v>10/31/2007</c:v>
                </c:pt>
                <c:pt idx="11">
                  <c:v>1/31/2008</c:v>
                </c:pt>
                <c:pt idx="12">
                  <c:v>4/30/2008</c:v>
                </c:pt>
                <c:pt idx="13">
                  <c:v>7/31/2008</c:v>
                </c:pt>
                <c:pt idx="14">
                  <c:v>10/31/2008</c:v>
                </c:pt>
                <c:pt idx="15">
                  <c:v>1/31/2009</c:v>
                </c:pt>
                <c:pt idx="16">
                  <c:v>4/30/2009</c:v>
                </c:pt>
                <c:pt idx="17">
                  <c:v>7/31/2009</c:v>
                </c:pt>
                <c:pt idx="18">
                  <c:v>10/31/2009</c:v>
                </c:pt>
                <c:pt idx="19">
                  <c:v>1/31/2010</c:v>
                </c:pt>
                <c:pt idx="20">
                  <c:v>4/30/2010</c:v>
                </c:pt>
                <c:pt idx="21">
                  <c:v>7/31/2010</c:v>
                </c:pt>
                <c:pt idx="22">
                  <c:v>10/31/2010</c:v>
                </c:pt>
                <c:pt idx="23">
                  <c:v>1/31/2011</c:v>
                </c:pt>
                <c:pt idx="24">
                  <c:v>4/30/2011</c:v>
                </c:pt>
                <c:pt idx="25">
                  <c:v>7/31/2011</c:v>
                </c:pt>
                <c:pt idx="26">
                  <c:v>10/31/2011</c:v>
                </c:pt>
                <c:pt idx="27">
                  <c:v>1/31/2012</c:v>
                </c:pt>
                <c:pt idx="28">
                  <c:v>4/30/2012</c:v>
                </c:pt>
                <c:pt idx="29">
                  <c:v>7/31/2012</c:v>
                </c:pt>
                <c:pt idx="30">
                  <c:v>10/31/2012</c:v>
                </c:pt>
                <c:pt idx="31">
                  <c:v>4/1/2013</c:v>
                </c:pt>
                <c:pt idx="32">
                  <c:v>6/10/2013</c:v>
                </c:pt>
                <c:pt idx="33">
                  <c:v>9/11/2013</c:v>
                </c:pt>
                <c:pt idx="34">
                  <c:v>12/4/2013</c:v>
                </c:pt>
                <c:pt idx="35">
                  <c:v>3/30/2014</c:v>
                </c:pt>
                <c:pt idx="36">
                  <c:v>6/4/2014</c:v>
                </c:pt>
                <c:pt idx="37">
                  <c:v>7/3/2014</c:v>
                </c:pt>
                <c:pt idx="38">
                  <c:v>12/3/2014</c:v>
                </c:pt>
                <c:pt idx="39">
                  <c:v>3/28/2015</c:v>
                </c:pt>
                <c:pt idx="40">
                  <c:v>6/2/2015</c:v>
                </c:pt>
                <c:pt idx="41">
                  <c:v>8/25/2015</c:v>
                </c:pt>
                <c:pt idx="42">
                  <c:v>12/1/2015</c:v>
                </c:pt>
                <c:pt idx="43">
                  <c:v>4/3/2016</c:v>
                </c:pt>
                <c:pt idx="44">
                  <c:v>6/1/2016</c:v>
                </c:pt>
                <c:pt idx="45">
                  <c:v>8/31/2016</c:v>
                </c:pt>
                <c:pt idx="46">
                  <c:v>11/30/2016</c:v>
                </c:pt>
                <c:pt idx="47">
                  <c:v>4/2/2017</c:v>
                </c:pt>
                <c:pt idx="48">
                  <c:v>6/1/2017</c:v>
                </c:pt>
                <c:pt idx="49">
                  <c:v>8/30/2017</c:v>
                </c:pt>
                <c:pt idx="50">
                  <c:v>12/6/2017</c:v>
                </c:pt>
                <c:pt idx="51">
                  <c:v>3/27/2018</c:v>
                </c:pt>
                <c:pt idx="52">
                  <c:v>5/30/2018</c:v>
                </c:pt>
                <c:pt idx="53">
                  <c:v>8/29/2018</c:v>
                </c:pt>
                <c:pt idx="54">
                  <c:v>12/5/2018</c:v>
                </c:pt>
                <c:pt idx="55">
                  <c:v>3/26/2019</c:v>
                </c:pt>
                <c:pt idx="56">
                  <c:v>5/28/2019</c:v>
                </c:pt>
                <c:pt idx="57">
                  <c:v>8/27/2019</c:v>
                </c:pt>
                <c:pt idx="58">
                  <c:v>12/3/2019</c:v>
                </c:pt>
                <c:pt idx="59">
                  <c:v>3/25/2020</c:v>
                </c:pt>
                <c:pt idx="60">
                  <c:v>5/27/2020</c:v>
                </c:pt>
                <c:pt idx="61">
                  <c:v>8/25/2020</c:v>
                </c:pt>
                <c:pt idx="62">
                  <c:v>12/2/2020</c:v>
                </c:pt>
                <c:pt idx="63">
                  <c:v>3/24/2021</c:v>
                </c:pt>
                <c:pt idx="64">
                  <c:v>5/26/2021</c:v>
                </c:pt>
                <c:pt idx="65">
                  <c:v>8/25/2021</c:v>
                </c:pt>
                <c:pt idx="66">
                  <c:v>12/1/2021</c:v>
                </c:pt>
                <c:pt idx="67">
                  <c:v>3/26/2022</c:v>
                </c:pt>
                <c:pt idx="68">
                  <c:v>5/25/2022</c:v>
                </c:pt>
                <c:pt idx="69">
                  <c:v>8/24/2022</c:v>
                </c:pt>
                <c:pt idx="70">
                  <c:v>11/30/2022</c:v>
                </c:pt>
                <c:pt idx="71">
                  <c:v>3/27/2023</c:v>
                </c:pt>
                <c:pt idx="72">
                  <c:v>5/30/2023</c:v>
                </c:pt>
                <c:pt idx="73">
                  <c:v>8/29/2023</c:v>
                </c:pt>
                <c:pt idx="74">
                  <c:v>12/5/2023</c:v>
                </c:pt>
                <c:pt idx="75">
                  <c:v>3/27/2024</c:v>
                </c:pt>
                <c:pt idx="76">
                  <c:v>5/29/2024</c:v>
                </c:pt>
                <c:pt idx="77">
                  <c:v>8/28/2024</c:v>
                </c:pt>
                <c:pt idx="78">
                  <c:v>12/5/2024</c:v>
                </c:pt>
                <c:pt idx="79">
                  <c:v>3/27/2025</c:v>
                </c:pt>
                <c:pt idx="80">
                  <c:v>5/29/2025</c:v>
                </c:pt>
                <c:pt idx="81">
                  <c:v>8/28/2025</c:v>
                </c:pt>
                <c:pt idx="82">
                  <c:v>12/4/2025</c:v>
                </c:pt>
                <c:pt idx="83">
                  <c:v>3/27/2026</c:v>
                </c:pt>
                <c:pt idx="84">
                  <c:v>7/31/2026</c:v>
                </c:pt>
                <c:pt idx="85">
                  <c:v>8/28/2026</c:v>
                </c:pt>
                <c:pt idx="86">
                  <c:v>12/4/2026</c:v>
                </c:pt>
                <c:pt idx="87">
                  <c:v>3/27/2027</c:v>
                </c:pt>
                <c:pt idx="88">
                  <c:v>7/31/2027</c:v>
                </c:pt>
                <c:pt idx="90">
                  <c:v>*All figures in thousands of dollars</c:v>
                </c:pt>
              </c:strCache>
            </c:strRef>
          </c:cat>
          <c:val>
            <c:numRef>
              <c:f>'ULTA ETS'!$E$5:$E$98</c:f>
              <c:numCache>
                <c:formatCode>General</c:formatCode>
                <c:ptCount val="94"/>
                <c:pt idx="82" formatCode="_(* #,##0_);_(* \(#,##0\);_(* &quot;-&quot;??_);_(@_)">
                  <c:v>2857623</c:v>
                </c:pt>
                <c:pt idx="83" formatCode="_(* #,##0_);_(* \(#,##0\);_(* &quot;-&quot;??_);_(@_)">
                  <c:v>2855144.1805884829</c:v>
                </c:pt>
                <c:pt idx="84" formatCode="_(* #,##0_);_(* \(#,##0\);_(* &quot;-&quot;??_);_(@_)">
                  <c:v>2630942.2163975281</c:v>
                </c:pt>
                <c:pt idx="85" formatCode="_(* #,##0_);_(* \(#,##0\);_(* &quot;-&quot;??_);_(@_)">
                  <c:v>2518031.1508982792</c:v>
                </c:pt>
                <c:pt idx="86" formatCode="_(* #,##0_);_(* \(#,##0\);_(* &quot;-&quot;??_);_(@_)">
                  <c:v>2551744.487552945</c:v>
                </c:pt>
                <c:pt idx="87" formatCode="_(* #,##0_);_(* \(#,##0\);_(* &quot;-&quot;??_);_(@_)">
                  <c:v>2703549.675428398</c:v>
                </c:pt>
                <c:pt idx="88" formatCode="_(* #,##0_);_(* \(#,##0\);_(* &quot;-&quot;??_);_(@_)">
                  <c:v>2489281.8524329243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1C-459B-A779-97FAB775E9D3}"/>
            </c:ext>
          </c:extLst>
        </c:ser>
        <c:ser>
          <c:idx val="4"/>
          <c:order val="3"/>
          <c:tx>
            <c:strRef>
              <c:f>'ULTA ETS'!$F$4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34925" cap="rnd">
              <a:solidFill>
                <a:schemeClr val="accent2">
                  <a:tint val="54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'ULTA ETS'!$B$5:$B$100</c:f>
              <c:strCache>
                <c:ptCount val="91"/>
                <c:pt idx="0">
                  <c:v>4/30/2005</c:v>
                </c:pt>
                <c:pt idx="1">
                  <c:v>7/31/2005</c:v>
                </c:pt>
                <c:pt idx="2">
                  <c:v>10/31/2005</c:v>
                </c:pt>
                <c:pt idx="3">
                  <c:v>1/31/2006</c:v>
                </c:pt>
                <c:pt idx="4">
                  <c:v>4/30/2006</c:v>
                </c:pt>
                <c:pt idx="5">
                  <c:v>7/31/2006</c:v>
                </c:pt>
                <c:pt idx="6">
                  <c:v>10/31/2006</c:v>
                </c:pt>
                <c:pt idx="7">
                  <c:v>1/31/2007</c:v>
                </c:pt>
                <c:pt idx="8">
                  <c:v>4/30/2007</c:v>
                </c:pt>
                <c:pt idx="9">
                  <c:v>7/30/2007</c:v>
                </c:pt>
                <c:pt idx="10">
                  <c:v>10/31/2007</c:v>
                </c:pt>
                <c:pt idx="11">
                  <c:v>1/31/2008</c:v>
                </c:pt>
                <c:pt idx="12">
                  <c:v>4/30/2008</c:v>
                </c:pt>
                <c:pt idx="13">
                  <c:v>7/31/2008</c:v>
                </c:pt>
                <c:pt idx="14">
                  <c:v>10/31/2008</c:v>
                </c:pt>
                <c:pt idx="15">
                  <c:v>1/31/2009</c:v>
                </c:pt>
                <c:pt idx="16">
                  <c:v>4/30/2009</c:v>
                </c:pt>
                <c:pt idx="17">
                  <c:v>7/31/2009</c:v>
                </c:pt>
                <c:pt idx="18">
                  <c:v>10/31/2009</c:v>
                </c:pt>
                <c:pt idx="19">
                  <c:v>1/31/2010</c:v>
                </c:pt>
                <c:pt idx="20">
                  <c:v>4/30/2010</c:v>
                </c:pt>
                <c:pt idx="21">
                  <c:v>7/31/2010</c:v>
                </c:pt>
                <c:pt idx="22">
                  <c:v>10/31/2010</c:v>
                </c:pt>
                <c:pt idx="23">
                  <c:v>1/31/2011</c:v>
                </c:pt>
                <c:pt idx="24">
                  <c:v>4/30/2011</c:v>
                </c:pt>
                <c:pt idx="25">
                  <c:v>7/31/2011</c:v>
                </c:pt>
                <c:pt idx="26">
                  <c:v>10/31/2011</c:v>
                </c:pt>
                <c:pt idx="27">
                  <c:v>1/31/2012</c:v>
                </c:pt>
                <c:pt idx="28">
                  <c:v>4/30/2012</c:v>
                </c:pt>
                <c:pt idx="29">
                  <c:v>7/31/2012</c:v>
                </c:pt>
                <c:pt idx="30">
                  <c:v>10/31/2012</c:v>
                </c:pt>
                <c:pt idx="31">
                  <c:v>4/1/2013</c:v>
                </c:pt>
                <c:pt idx="32">
                  <c:v>6/10/2013</c:v>
                </c:pt>
                <c:pt idx="33">
                  <c:v>9/11/2013</c:v>
                </c:pt>
                <c:pt idx="34">
                  <c:v>12/4/2013</c:v>
                </c:pt>
                <c:pt idx="35">
                  <c:v>3/30/2014</c:v>
                </c:pt>
                <c:pt idx="36">
                  <c:v>6/4/2014</c:v>
                </c:pt>
                <c:pt idx="37">
                  <c:v>7/3/2014</c:v>
                </c:pt>
                <c:pt idx="38">
                  <c:v>12/3/2014</c:v>
                </c:pt>
                <c:pt idx="39">
                  <c:v>3/28/2015</c:v>
                </c:pt>
                <c:pt idx="40">
                  <c:v>6/2/2015</c:v>
                </c:pt>
                <c:pt idx="41">
                  <c:v>8/25/2015</c:v>
                </c:pt>
                <c:pt idx="42">
                  <c:v>12/1/2015</c:v>
                </c:pt>
                <c:pt idx="43">
                  <c:v>4/3/2016</c:v>
                </c:pt>
                <c:pt idx="44">
                  <c:v>6/1/2016</c:v>
                </c:pt>
                <c:pt idx="45">
                  <c:v>8/31/2016</c:v>
                </c:pt>
                <c:pt idx="46">
                  <c:v>11/30/2016</c:v>
                </c:pt>
                <c:pt idx="47">
                  <c:v>4/2/2017</c:v>
                </c:pt>
                <c:pt idx="48">
                  <c:v>6/1/2017</c:v>
                </c:pt>
                <c:pt idx="49">
                  <c:v>8/30/2017</c:v>
                </c:pt>
                <c:pt idx="50">
                  <c:v>12/6/2017</c:v>
                </c:pt>
                <c:pt idx="51">
                  <c:v>3/27/2018</c:v>
                </c:pt>
                <c:pt idx="52">
                  <c:v>5/30/2018</c:v>
                </c:pt>
                <c:pt idx="53">
                  <c:v>8/29/2018</c:v>
                </c:pt>
                <c:pt idx="54">
                  <c:v>12/5/2018</c:v>
                </c:pt>
                <c:pt idx="55">
                  <c:v>3/26/2019</c:v>
                </c:pt>
                <c:pt idx="56">
                  <c:v>5/28/2019</c:v>
                </c:pt>
                <c:pt idx="57">
                  <c:v>8/27/2019</c:v>
                </c:pt>
                <c:pt idx="58">
                  <c:v>12/3/2019</c:v>
                </c:pt>
                <c:pt idx="59">
                  <c:v>3/25/2020</c:v>
                </c:pt>
                <c:pt idx="60">
                  <c:v>5/27/2020</c:v>
                </c:pt>
                <c:pt idx="61">
                  <c:v>8/25/2020</c:v>
                </c:pt>
                <c:pt idx="62">
                  <c:v>12/2/2020</c:v>
                </c:pt>
                <c:pt idx="63">
                  <c:v>3/24/2021</c:v>
                </c:pt>
                <c:pt idx="64">
                  <c:v>5/26/2021</c:v>
                </c:pt>
                <c:pt idx="65">
                  <c:v>8/25/2021</c:v>
                </c:pt>
                <c:pt idx="66">
                  <c:v>12/1/2021</c:v>
                </c:pt>
                <c:pt idx="67">
                  <c:v>3/26/2022</c:v>
                </c:pt>
                <c:pt idx="68">
                  <c:v>5/25/2022</c:v>
                </c:pt>
                <c:pt idx="69">
                  <c:v>8/24/2022</c:v>
                </c:pt>
                <c:pt idx="70">
                  <c:v>11/30/2022</c:v>
                </c:pt>
                <c:pt idx="71">
                  <c:v>3/27/2023</c:v>
                </c:pt>
                <c:pt idx="72">
                  <c:v>5/30/2023</c:v>
                </c:pt>
                <c:pt idx="73">
                  <c:v>8/29/2023</c:v>
                </c:pt>
                <c:pt idx="74">
                  <c:v>12/5/2023</c:v>
                </c:pt>
                <c:pt idx="75">
                  <c:v>3/27/2024</c:v>
                </c:pt>
                <c:pt idx="76">
                  <c:v>5/29/2024</c:v>
                </c:pt>
                <c:pt idx="77">
                  <c:v>8/28/2024</c:v>
                </c:pt>
                <c:pt idx="78">
                  <c:v>12/5/2024</c:v>
                </c:pt>
                <c:pt idx="79">
                  <c:v>3/27/2025</c:v>
                </c:pt>
                <c:pt idx="80">
                  <c:v>5/29/2025</c:v>
                </c:pt>
                <c:pt idx="81">
                  <c:v>8/28/2025</c:v>
                </c:pt>
                <c:pt idx="82">
                  <c:v>12/4/2025</c:v>
                </c:pt>
                <c:pt idx="83">
                  <c:v>3/27/2026</c:v>
                </c:pt>
                <c:pt idx="84">
                  <c:v>7/31/2026</c:v>
                </c:pt>
                <c:pt idx="85">
                  <c:v>8/28/2026</c:v>
                </c:pt>
                <c:pt idx="86">
                  <c:v>12/4/2026</c:v>
                </c:pt>
                <c:pt idx="87">
                  <c:v>3/27/2027</c:v>
                </c:pt>
                <c:pt idx="88">
                  <c:v>7/31/2027</c:v>
                </c:pt>
                <c:pt idx="90">
                  <c:v>*All figures in thousands of dollars</c:v>
                </c:pt>
              </c:strCache>
            </c:strRef>
          </c:cat>
          <c:val>
            <c:numRef>
              <c:f>'ULTA ETS'!$F$5:$F$98</c:f>
              <c:numCache>
                <c:formatCode>General</c:formatCode>
                <c:ptCount val="94"/>
                <c:pt idx="82" formatCode="_(* #,##0_);_(* \(#,##0\);_(* &quot;-&quot;??_);_(@_)">
                  <c:v>2857623</c:v>
                </c:pt>
                <c:pt idx="83" formatCode="_(* #,##0_);_(* \(#,##0\);_(* &quot;-&quot;??_);_(@_)">
                  <c:v>3394721.6872245576</c:v>
                </c:pt>
                <c:pt idx="84" formatCode="_(* #,##0_);_(* \(#,##0\);_(* &quot;-&quot;??_);_(@_)">
                  <c:v>3400253.869201452</c:v>
                </c:pt>
                <c:pt idx="85" formatCode="_(* #,##0_);_(* \(#,##0\);_(* &quot;-&quot;??_);_(@_)">
                  <c:v>3333547.4007667811</c:v>
                </c:pt>
                <c:pt idx="86" formatCode="_(* #,##0_);_(* \(#,##0\);_(* &quot;-&quot;??_);_(@_)">
                  <c:v>3534467.8087265943</c:v>
                </c:pt>
                <c:pt idx="87" formatCode="_(* #,##0_);_(* \(#,##0\);_(* &quot;-&quot;??_);_(@_)">
                  <c:v>3901743.5623229472</c:v>
                </c:pt>
                <c:pt idx="88" formatCode="_(* #,##0_);_(* \(#,##0\);_(* &quot;-&quot;??_);_(@_)">
                  <c:v>3897341.6031043604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F1C-459B-A779-97FAB775E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888304"/>
        <c:axId val="424883984"/>
      </c:lineChart>
      <c:catAx>
        <c:axId val="42488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883984"/>
        <c:crosses val="autoZero"/>
        <c:auto val="1"/>
        <c:lblAlgn val="ctr"/>
        <c:lblOffset val="100"/>
        <c:noMultiLvlLbl val="0"/>
      </c:catAx>
      <c:valAx>
        <c:axId val="42488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88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image" Target="../media/image3.w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94074</xdr:colOff>
      <xdr:row>0</xdr:row>
      <xdr:rowOff>235185</xdr:rowOff>
    </xdr:from>
    <xdr:to>
      <xdr:col>1</xdr:col>
      <xdr:colOff>2128426</xdr:colOff>
      <xdr:row>0</xdr:row>
      <xdr:rowOff>1364334</xdr:rowOff>
    </xdr:to>
    <xdr:pic>
      <xdr:nvPicPr>
        <xdr:cNvPr id="2" name="Picture 1" descr="Overview Hult International Business School - ehef.id">
          <a:extLst>
            <a:ext uri="{FF2B5EF4-FFF2-40B4-BE49-F238E27FC236}">
              <a16:creationId xmlns:a16="http://schemas.microsoft.com/office/drawing/2014/main" id="{38FAFF50-5F2B-05A3-EC8A-D328EA53C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555" y="235185"/>
          <a:ext cx="2034352" cy="1129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2802612</xdr:colOff>
      <xdr:row>1</xdr:row>
      <xdr:rowOff>304983</xdr:rowOff>
    </xdr:from>
    <xdr:to>
      <xdr:col>1</xdr:col>
      <xdr:colOff>3343537</xdr:colOff>
      <xdr:row>3</xdr:row>
      <xdr:rowOff>63907</xdr:rowOff>
    </xdr:to>
    <xdr:pic>
      <xdr:nvPicPr>
        <xdr:cNvPr id="3" name="Picture 2" descr="Ulta Beauty | Anaheim | Anaheim Hills Festival">
          <a:extLst>
            <a:ext uri="{FF2B5EF4-FFF2-40B4-BE49-F238E27FC236}">
              <a16:creationId xmlns:a16="http://schemas.microsoft.com/office/drawing/2014/main" id="{70A53BC7-2C17-9B9E-BD0B-E1CD13BAE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087" y="2145407"/>
          <a:ext cx="540925" cy="329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562919</xdr:colOff>
      <xdr:row>5</xdr:row>
      <xdr:rowOff>18535</xdr:rowOff>
    </xdr:from>
    <xdr:to>
      <xdr:col>16</xdr:col>
      <xdr:colOff>68649</xdr:colOff>
      <xdr:row>25</xdr:row>
      <xdr:rowOff>77229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1B8B95-EE11-97DF-08D7-F2B20A1D7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554337</xdr:colOff>
      <xdr:row>29</xdr:row>
      <xdr:rowOff>44278</xdr:rowOff>
    </xdr:from>
    <xdr:to>
      <xdr:col>16</xdr:col>
      <xdr:colOff>102972</xdr:colOff>
      <xdr:row>46</xdr:row>
      <xdr:rowOff>17161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62901C-A336-5BF4-306B-E0C6A1108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34773</xdr:colOff>
      <xdr:row>11</xdr:row>
      <xdr:rowOff>155425</xdr:rowOff>
    </xdr:from>
    <xdr:to>
      <xdr:col>23</xdr:col>
      <xdr:colOff>0</xdr:colOff>
      <xdr:row>37</xdr:row>
      <xdr:rowOff>93383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2824A3-9876-C55C-A5EE-3502E35C6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42</xdr:row>
      <xdr:rowOff>168088</xdr:rowOff>
    </xdr:from>
    <xdr:to>
      <xdr:col>23</xdr:col>
      <xdr:colOff>12700</xdr:colOff>
      <xdr:row>70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FBF0BF-B1BC-C518-8042-4CF2AF17E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1867</xdr:colOff>
      <xdr:row>11</xdr:row>
      <xdr:rowOff>150534</xdr:rowOff>
    </xdr:from>
    <xdr:to>
      <xdr:col>36</xdr:col>
      <xdr:colOff>57727</xdr:colOff>
      <xdr:row>37</xdr:row>
      <xdr:rowOff>43297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C75DE4-8F58-8EB9-8EA9-380CCC715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585930</xdr:colOff>
      <xdr:row>42</xdr:row>
      <xdr:rowOff>165387</xdr:rowOff>
    </xdr:from>
    <xdr:to>
      <xdr:col>36</xdr:col>
      <xdr:colOff>28863</xdr:colOff>
      <xdr:row>70</xdr:row>
      <xdr:rowOff>28863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8500F1-E801-6F17-D852-DC2008D77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596900</xdr:colOff>
      <xdr:row>6</xdr:row>
      <xdr:rowOff>0</xdr:rowOff>
    </xdr:from>
    <xdr:to>
      <xdr:col>18</xdr:col>
      <xdr:colOff>584200</xdr:colOff>
      <xdr:row>34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A6CD6C-2858-F0D0-CEA1-98AE9C3B4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14433</xdr:colOff>
      <xdr:row>11</xdr:row>
      <xdr:rowOff>41275</xdr:rowOff>
    </xdr:from>
    <xdr:to>
      <xdr:col>15</xdr:col>
      <xdr:colOff>63500</xdr:colOff>
      <xdr:row>32</xdr:row>
      <xdr:rowOff>115455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689FA6-C25F-514D-D671-37E5763A2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585931</xdr:colOff>
      <xdr:row>11</xdr:row>
      <xdr:rowOff>57728</xdr:rowOff>
    </xdr:from>
    <xdr:to>
      <xdr:col>25</xdr:col>
      <xdr:colOff>331932</xdr:colOff>
      <xdr:row>32</xdr:row>
      <xdr:rowOff>129886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2C79290-8A0D-856B-1E05-BD2299907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585932</xdr:colOff>
      <xdr:row>35</xdr:row>
      <xdr:rowOff>150956</xdr:rowOff>
    </xdr:from>
    <xdr:to>
      <xdr:col>15</xdr:col>
      <xdr:colOff>72159</xdr:colOff>
      <xdr:row>57</xdr:row>
      <xdr:rowOff>28863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53D42B3-888C-D471-A836-FF574B319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585931</xdr:colOff>
      <xdr:row>35</xdr:row>
      <xdr:rowOff>150957</xdr:rowOff>
    </xdr:from>
    <xdr:to>
      <xdr:col>25</xdr:col>
      <xdr:colOff>375228</xdr:colOff>
      <xdr:row>57</xdr:row>
      <xdr:rowOff>28863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4B16DC7-E056-F4D5-70D4-BE5714AAB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302670</xdr:colOff>
      <xdr:row>8</xdr:row>
      <xdr:rowOff>100558</xdr:rowOff>
    </xdr:from>
    <xdr:to>
      <xdr:col>11</xdr:col>
      <xdr:colOff>577271</xdr:colOff>
      <xdr:row>31</xdr:row>
      <xdr:rowOff>144318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F46375F-5B1E-FBEC-7DD8-42FAA0FFB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364642</xdr:colOff>
      <xdr:row>14</xdr:row>
      <xdr:rowOff>129309</xdr:rowOff>
    </xdr:from>
    <xdr:to>
      <xdr:col>16</xdr:col>
      <xdr:colOff>577271</xdr:colOff>
      <xdr:row>39</xdr:row>
      <xdr:rowOff>105832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8F48CB-6000-87FF-5668-DBED7408C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308309</xdr:colOff>
      <xdr:row>11</xdr:row>
      <xdr:rowOff>136526</xdr:rowOff>
    </xdr:from>
    <xdr:to>
      <xdr:col>18</xdr:col>
      <xdr:colOff>336743</xdr:colOff>
      <xdr:row>29</xdr:row>
      <xdr:rowOff>9621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CA89EE-05DB-9271-FFE8-0A648CF4C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98926</xdr:colOff>
      <xdr:row>47</xdr:row>
      <xdr:rowOff>79683</xdr:rowOff>
    </xdr:from>
    <xdr:to>
      <xdr:col>13</xdr:col>
      <xdr:colOff>407388</xdr:colOff>
      <xdr:row>56</xdr:row>
      <xdr:rowOff>128989</xdr:rowOff>
    </xdr:to>
    <xdr:pic>
      <xdr:nvPicPr>
        <xdr:cNvPr id="4" name="Content Placeholder 9" descr="(L_t) = alpha((Y_t)/(S_t minus p)) + (1 minus alpha)((L_t minus 1) + (T_t minus 1)). (T_t) = beta((L_t) minus (L_t minus 1)) + (1 minus beta)(T_t minus 1). S_t = gamma((Y_t)/(L_t)) + (1 minus gamma)(S_t minus p). (Y-hat_t+n) = ((L_t) + n(T_t))(S_t + n minus p)">
          <a:extLst>
            <a:ext uri="{FF2B5EF4-FFF2-40B4-BE49-F238E27FC236}">
              <a16:creationId xmlns:a16="http://schemas.microsoft.com/office/drawing/2014/main" id="{263C0C2D-AA67-4DDE-B9F6-0C51486152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9305" y="8450138"/>
          <a:ext cx="2126871" cy="1684912"/>
        </a:xfrm>
        <a:prstGeom prst="rect">
          <a:avLst/>
        </a:prstGeom>
      </xdr:spPr>
    </xdr:pic>
    <xdr:clientData/>
  </xdr:twoCellAnchor>
  <xdr:twoCellAnchor>
    <xdr:from>
      <xdr:col>7</xdr:col>
      <xdr:colOff>460627</xdr:colOff>
      <xdr:row>16</xdr:row>
      <xdr:rowOff>34473</xdr:rowOff>
    </xdr:from>
    <xdr:to>
      <xdr:col>17</xdr:col>
      <xdr:colOff>383016</xdr:colOff>
      <xdr:row>36</xdr:row>
      <xdr:rowOff>80635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CAD63A-C2B2-9749-FC81-859C83276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162560</xdr:colOff>
      <xdr:row>0</xdr:row>
      <xdr:rowOff>111760</xdr:rowOff>
    </xdr:from>
    <xdr:to>
      <xdr:col>15</xdr:col>
      <xdr:colOff>72035</xdr:colOff>
      <xdr:row>2</xdr:row>
      <xdr:rowOff>87648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F2487F07-5D33-4B00-B861-A6408F94D37B}"/>
            </a:ext>
          </a:extLst>
        </xdr:cNvPr>
        <xdr:cNvSpPr txBox="1"/>
      </xdr:nvSpPr>
      <xdr:spPr>
        <a:xfrm>
          <a:off x="13418185" y="111760"/>
          <a:ext cx="1036600" cy="468013"/>
        </a:xfrm>
        <a:prstGeom prst="rect">
          <a:avLst/>
        </a:prstGeom>
        <a:solidFill>
          <a:schemeClr val="bg1"/>
        </a:solidFill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2400" i="1"/>
        </a:p>
      </xdr:txBody>
    </xdr:sp>
    <xdr:clientData/>
  </xdr:twoCellAnchor>
  <xdr:twoCellAnchor>
    <xdr:from>
      <xdr:col>9</xdr:col>
      <xdr:colOff>55563</xdr:colOff>
      <xdr:row>26</xdr:row>
      <xdr:rowOff>96837</xdr:rowOff>
    </xdr:from>
    <xdr:to>
      <xdr:col>17</xdr:col>
      <xdr:colOff>1127125</xdr:colOff>
      <xdr:row>56</xdr:row>
      <xdr:rowOff>142551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746AF5-7FD0-98D5-FA13-361C754C0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60176</xdr:colOff>
      <xdr:row>2</xdr:row>
      <xdr:rowOff>117143</xdr:rowOff>
    </xdr:from>
    <xdr:to>
      <xdr:col>29</xdr:col>
      <xdr:colOff>587375</xdr:colOff>
      <xdr:row>42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98133A-95D1-7F21-FCF7-D0556FF87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ulahn/Desktop/Accounting%20TA/Performance%20Management/C:/Users/John/Accounting%20HULT%20My%20Files/accounting%20hult%20team%20files/Managerial%20Accounting/Chapter%202/C-V-P%20Graph%20for%20Class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Case"/>
      <sheetName val="FCFF vs. FCFE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42F9C4-A427-404F-BF24-8826A1FF61F7}" name="Table3" displayName="Table3" ref="B4:F93" totalsRowShown="0" headerRowDxfId="6" dataDxfId="5">
  <tableColumns count="5">
    <tableColumn id="1" xr3:uid="{8E0121CD-CDD1-418B-B582-82AAB412F758}" name="Date" dataDxfId="4"/>
    <tableColumn id="2" xr3:uid="{A4161581-8C45-4A81-82BD-319C437D398E}" name="Sales" dataDxfId="3"/>
    <tableColumn id="3" xr3:uid="{84E5E599-C955-4359-AA4B-BBBD8F58EB40}" name="Forecast" dataDxfId="2">
      <calculatedColumnFormula>_xlfn.FORECAST.ETS(B5,$C$5:$C$39,$B$5:$B$39,1,1)</calculatedColumnFormula>
    </tableColumn>
    <tableColumn id="4" xr3:uid="{DD83E69D-16AC-4903-9F5E-84A2423DD66F}" name="Lower Confidence Bound" dataDxfId="1">
      <calculatedColumnFormula>D5-_xlfn.FORECAST.ETS.CONFINT(B5,$C$5:$C$39,$B$5:$B$39,0.95,1,1)</calculatedColumnFormula>
    </tableColumn>
    <tableColumn id="5" xr3:uid="{44D1F82A-4823-4565-A90D-376F9053997D}" name="Upper Confidence Bound" dataDxfId="0">
      <calculatedColumnFormula>D5+_xlfn.FORECAST.ETS.CONFINT(B5,$C$5:$C$39,$B$5:$B$39,0.95,1,1)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55652-F433-429D-90C7-E0B4AA3667E5}">
  <sheetPr>
    <tabColor theme="5" tint="-0.499984740745262"/>
  </sheetPr>
  <dimension ref="A1:Q169"/>
  <sheetViews>
    <sheetView showGridLines="0" tabSelected="1" zoomScale="44" zoomScaleNormal="48" workbookViewId="0">
      <selection activeCell="C1" sqref="C1"/>
    </sheetView>
  </sheetViews>
  <sheetFormatPr defaultRowHeight="14" x14ac:dyDescent="0.3"/>
  <cols>
    <col min="2" max="2" width="76" customWidth="1"/>
    <col min="3" max="3" width="15.54296875" customWidth="1"/>
    <col min="4" max="5" width="24.81640625" customWidth="1"/>
    <col min="6" max="6" width="23.6328125" customWidth="1"/>
    <col min="7" max="7" width="22.6328125" customWidth="1"/>
    <col min="8" max="8" width="25.26953125" customWidth="1"/>
    <col min="9" max="9" width="24.54296875" customWidth="1"/>
    <col min="13" max="13" width="11.90625" bestFit="1" customWidth="1"/>
    <col min="14" max="14" width="11.08984375" customWidth="1"/>
    <col min="15" max="15" width="11.90625" bestFit="1" customWidth="1"/>
    <col min="16" max="16" width="11.81640625" customWidth="1"/>
    <col min="17" max="17" width="11.08984375" customWidth="1"/>
  </cols>
  <sheetData>
    <row r="1" spans="2:9" ht="144.5" customHeight="1" x14ac:dyDescent="0.3"/>
    <row r="2" spans="2:9" ht="27.5" x14ac:dyDescent="0.3">
      <c r="B2" s="54" t="s">
        <v>75</v>
      </c>
    </row>
    <row r="3" spans="2:9" ht="17.5" x14ac:dyDescent="0.3">
      <c r="B3" s="56" t="s">
        <v>123</v>
      </c>
    </row>
    <row r="4" spans="2:9" ht="17.5" x14ac:dyDescent="0.3">
      <c r="B4" s="56" t="s">
        <v>124</v>
      </c>
    </row>
    <row r="5" spans="2:9" ht="17.5" x14ac:dyDescent="0.3">
      <c r="B5" s="58"/>
    </row>
    <row r="6" spans="2:9" ht="20.5" x14ac:dyDescent="0.3">
      <c r="B6" s="188" t="s">
        <v>211</v>
      </c>
      <c r="C6" s="189"/>
      <c r="D6" s="189"/>
      <c r="E6" s="190" t="s">
        <v>115</v>
      </c>
      <c r="F6" s="191"/>
      <c r="G6" s="191"/>
      <c r="H6" s="191"/>
      <c r="I6" s="191"/>
    </row>
    <row r="7" spans="2:9" ht="15.5" x14ac:dyDescent="0.3">
      <c r="B7" s="52"/>
    </row>
    <row r="8" spans="2:9" ht="17.5" x14ac:dyDescent="0.3">
      <c r="B8" s="99" t="s">
        <v>76</v>
      </c>
      <c r="C8" s="59"/>
      <c r="D8" s="102" t="s">
        <v>229</v>
      </c>
      <c r="E8" s="102" t="s">
        <v>217</v>
      </c>
      <c r="F8" s="102" t="s">
        <v>218</v>
      </c>
      <c r="G8" s="102" t="s">
        <v>219</v>
      </c>
      <c r="H8" s="102" t="s">
        <v>230</v>
      </c>
      <c r="I8" s="102" t="s">
        <v>236</v>
      </c>
    </row>
    <row r="9" spans="2:9" ht="15.5" x14ac:dyDescent="0.3">
      <c r="B9" s="61" t="s">
        <v>235</v>
      </c>
      <c r="C9" s="62"/>
      <c r="D9" s="63"/>
      <c r="E9" s="63"/>
      <c r="F9" s="63"/>
      <c r="G9" s="63"/>
      <c r="H9" s="63"/>
      <c r="I9" s="60"/>
    </row>
    <row r="10" spans="2:9" ht="17.5" x14ac:dyDescent="0.3">
      <c r="B10" s="126" t="s">
        <v>216</v>
      </c>
      <c r="C10" s="126"/>
      <c r="D10" s="192">
        <f>D44</f>
        <v>2857623</v>
      </c>
      <c r="E10" s="248">
        <f>'ULTA HWAS'!G96*0.95</f>
        <v>2868908.0349592785</v>
      </c>
      <c r="F10" s="248">
        <f>'ULTA HWAS'!G97*0.95</f>
        <v>2787071.5524497875</v>
      </c>
      <c r="G10" s="248">
        <f>'ULTA HWAS'!G98*0.95</f>
        <v>2837762.5608249819</v>
      </c>
      <c r="H10" s="248">
        <f>'ULTA HWAS'!G99*0.95</f>
        <v>3758455.9228021782</v>
      </c>
      <c r="I10" s="248">
        <f>'ULTA HWAS'!G100*0.95</f>
        <v>3095924.8875089576</v>
      </c>
    </row>
    <row r="11" spans="2:9" ht="17.5" x14ac:dyDescent="0.3">
      <c r="B11" s="120" t="s">
        <v>255</v>
      </c>
      <c r="C11" s="126"/>
      <c r="D11" s="192">
        <f>D45</f>
        <v>-1701958</v>
      </c>
      <c r="E11" s="248">
        <f>-'ULTA %Sales &amp; Trend'!H88</f>
        <v>-1781573.6789120063</v>
      </c>
      <c r="F11" s="248">
        <f>-'ULTA %Sales &amp; Trend'!H89</f>
        <v>-1815657.7326317038</v>
      </c>
      <c r="G11" s="248">
        <f>-'ULTA %Sales &amp; Trend'!H90</f>
        <v>-1823231.9667916372</v>
      </c>
      <c r="H11" s="248">
        <f>-'ULTA %Sales &amp; Trend'!H91</f>
        <v>-1849741.7863514032</v>
      </c>
      <c r="I11" s="248">
        <f>-'ULTA %Sales &amp; Trend'!H92</f>
        <v>-1880309.2313539907</v>
      </c>
    </row>
    <row r="12" spans="2:9" ht="17.5" x14ac:dyDescent="0.3">
      <c r="B12" s="120" t="s">
        <v>256</v>
      </c>
      <c r="C12" s="276"/>
      <c r="D12" s="192">
        <f>D48</f>
        <v>-840920</v>
      </c>
      <c r="E12" s="248">
        <f>-'ULTA %Sales &amp; Trend'!G88</f>
        <v>-786354.46352707781</v>
      </c>
      <c r="F12" s="248">
        <f>-'ULTA %Sales &amp; Trend'!G89</f>
        <v>-805786.25002843887</v>
      </c>
      <c r="G12" s="248">
        <f>-'ULTA %Sales &amp; Trend'!G90</f>
        <v>-810104.42480651848</v>
      </c>
      <c r="H12" s="248">
        <f>-'ULTA %Sales &amp; Trend'!G91</f>
        <v>-825218.03652979899</v>
      </c>
      <c r="I12" s="248">
        <f>-'ULTA %Sales &amp; Trend'!G92</f>
        <v>-842644.95616990793</v>
      </c>
    </row>
    <row r="13" spans="2:9" ht="17.5" x14ac:dyDescent="0.3">
      <c r="B13" s="120" t="s">
        <v>257</v>
      </c>
      <c r="C13" s="276"/>
      <c r="D13" s="192">
        <f>D50</f>
        <v>-9449</v>
      </c>
      <c r="E13" s="248">
        <f>'ULTA %Sales &amp; Trend'!F88</f>
        <v>-3197.845256764449</v>
      </c>
      <c r="F13" s="248">
        <f>'ULTA %Sales &amp; Trend'!F89</f>
        <v>-3056.1185004111612</v>
      </c>
      <c r="G13" s="248">
        <f>'ULTA %Sales &amp; Trend'!F90</f>
        <v>-3024.6236656659821</v>
      </c>
      <c r="H13" s="248">
        <f>'ULTA %Sales &amp; Trend'!F91</f>
        <v>-2914.3917440578662</v>
      </c>
      <c r="I13" s="248">
        <f>'ULTA %Sales &amp; Trend'!F92</f>
        <v>-2787.2875895505495</v>
      </c>
    </row>
    <row r="14" spans="2:9" ht="17.5" x14ac:dyDescent="0.3">
      <c r="B14" s="120" t="s">
        <v>251</v>
      </c>
      <c r="C14" s="277"/>
      <c r="D14" s="192">
        <f>D52</f>
        <v>-73436</v>
      </c>
      <c r="E14" s="248">
        <f>-'ULTA %Sales &amp; Trend'!E88</f>
        <v>-98039.97390263027</v>
      </c>
      <c r="F14" s="248">
        <f>-'ULTA %Sales &amp; Trend'!E89</f>
        <v>-99978.00893373997</v>
      </c>
      <c r="G14" s="248">
        <f>-'ULTA %Sales &amp; Trend'!E90</f>
        <v>-100408.68338509777</v>
      </c>
      <c r="H14" s="248">
        <f>-'ULTA %Sales &amp; Trend'!E91</f>
        <v>-101916.04396484978</v>
      </c>
      <c r="I14" s="248">
        <f>-'ULTA %Sales &amp; Trend'!E92</f>
        <v>-103654.12300068629</v>
      </c>
    </row>
    <row r="15" spans="2:9" ht="18" x14ac:dyDescent="0.3">
      <c r="B15" s="321" t="s">
        <v>244</v>
      </c>
      <c r="C15" s="287"/>
      <c r="D15" s="262">
        <f>D54</f>
        <v>-985</v>
      </c>
      <c r="E15" s="322">
        <f>AVERAGE($D$15,-597,-628)</f>
        <v>-736.66666666666663</v>
      </c>
      <c r="F15" s="322">
        <f t="shared" ref="F15:I15" si="0">AVERAGE($D$15,-597,-628)</f>
        <v>-736.66666666666663</v>
      </c>
      <c r="G15" s="322">
        <f t="shared" si="0"/>
        <v>-736.66666666666663</v>
      </c>
      <c r="H15" s="322">
        <f t="shared" si="0"/>
        <v>-736.66666666666663</v>
      </c>
      <c r="I15" s="322">
        <f t="shared" si="0"/>
        <v>-736.66666666666663</v>
      </c>
    </row>
    <row r="16" spans="2:9" ht="15.5" x14ac:dyDescent="0.3">
      <c r="B16" s="67" t="s">
        <v>234</v>
      </c>
      <c r="C16" s="52"/>
      <c r="D16" s="53"/>
      <c r="E16" s="53"/>
      <c r="F16" s="53"/>
      <c r="G16" s="53"/>
      <c r="H16" s="53"/>
      <c r="I16" s="53"/>
    </row>
    <row r="17" spans="2:15" ht="17.5" x14ac:dyDescent="0.3">
      <c r="B17" s="127" t="s">
        <v>107</v>
      </c>
      <c r="C17" s="128"/>
      <c r="D17" s="192">
        <f>'ULTA %Sales &amp; Trend'!I87</f>
        <v>3077308</v>
      </c>
      <c r="E17" s="248">
        <f>'ULTA %Sales &amp; Trend'!I88</f>
        <v>3042601.1207761094</v>
      </c>
      <c r="F17" s="248">
        <f>'ULTA %Sales &amp; Trend'!I89</f>
        <v>3103816.255323045</v>
      </c>
      <c r="G17" s="248">
        <f>'ULTA %Sales &amp; Trend'!I90</f>
        <v>3117419.6185556985</v>
      </c>
      <c r="H17" s="248">
        <f>'ULTA %Sales &amp; Trend'!I91</f>
        <v>3165031.3898699805</v>
      </c>
      <c r="I17" s="248">
        <f>'ULTA %Sales &amp; Trend'!I92</f>
        <v>3219930.6772017553</v>
      </c>
    </row>
    <row r="18" spans="2:15" s="181" customFormat="1" ht="18" x14ac:dyDescent="0.3">
      <c r="B18" s="260" t="s">
        <v>243</v>
      </c>
      <c r="C18" s="261"/>
      <c r="D18" s="275">
        <v>0</v>
      </c>
      <c r="E18" s="263">
        <f>-((2153831)+171068.5)</f>
        <v>-2324899.5</v>
      </c>
      <c r="F18" s="263">
        <v>0</v>
      </c>
      <c r="G18" s="263">
        <v>0</v>
      </c>
      <c r="H18" s="263">
        <v>0</v>
      </c>
      <c r="I18" s="263">
        <f>E18-171068.5</f>
        <v>-2495968</v>
      </c>
      <c r="J18"/>
    </row>
    <row r="19" spans="2:15" s="181" customFormat="1" ht="18" x14ac:dyDescent="0.3">
      <c r="B19" s="260" t="s">
        <v>241</v>
      </c>
      <c r="C19" s="261"/>
      <c r="D19" s="275">
        <v>0</v>
      </c>
      <c r="E19" s="264">
        <f>E18/(E17-E18)</f>
        <v>-0.43314377850296981</v>
      </c>
      <c r="F19" s="264">
        <f t="shared" ref="F19:I19" si="1">F18/(F17-F18)</f>
        <v>0</v>
      </c>
      <c r="G19" s="264">
        <f t="shared" si="1"/>
        <v>0</v>
      </c>
      <c r="H19" s="264">
        <f t="shared" si="1"/>
        <v>0</v>
      </c>
      <c r="I19" s="264">
        <f t="shared" si="1"/>
        <v>-0.43667114148739822</v>
      </c>
      <c r="J19"/>
      <c r="O19" s="286"/>
    </row>
    <row r="20" spans="2:15" ht="15.5" x14ac:dyDescent="0.3">
      <c r="B20" s="64" t="s">
        <v>308</v>
      </c>
      <c r="C20" s="66"/>
      <c r="D20" s="193">
        <v>3.3000000000000002E-2</v>
      </c>
      <c r="E20" s="249">
        <v>-1.46E-2</v>
      </c>
      <c r="F20" s="249">
        <v>-0.11219999999999999</v>
      </c>
      <c r="G20" s="249">
        <v>-0.15110000000000001</v>
      </c>
      <c r="H20" s="249">
        <v>3.27E-2</v>
      </c>
      <c r="I20" s="249">
        <v>-1.46E-2</v>
      </c>
      <c r="O20" s="285"/>
    </row>
    <row r="21" spans="2:15" ht="15.5" x14ac:dyDescent="0.3">
      <c r="B21" s="64" t="s">
        <v>309</v>
      </c>
      <c r="C21" s="66"/>
      <c r="D21" s="310">
        <f>D61</f>
        <v>204921</v>
      </c>
      <c r="E21" s="311">
        <f>(703201)*(1+E20)</f>
        <v>692934.26540000003</v>
      </c>
      <c r="F21" s="311">
        <f>454629*(1+F20)</f>
        <v>403619.6262</v>
      </c>
      <c r="G21" s="311">
        <f>242745*(1+G20)</f>
        <v>206066.23050000001</v>
      </c>
      <c r="H21" s="311">
        <f>204921*(1+H20)</f>
        <v>211621.9167</v>
      </c>
      <c r="I21" s="311">
        <f>692934*(1+I20)</f>
        <v>682817.16360000009</v>
      </c>
      <c r="O21" s="285"/>
    </row>
    <row r="22" spans="2:15" ht="15.5" x14ac:dyDescent="0.3">
      <c r="B22" s="68" t="s">
        <v>310</v>
      </c>
      <c r="C22" s="66"/>
      <c r="D22" s="193">
        <v>0.1399</v>
      </c>
      <c r="E22" s="249">
        <v>0.08</v>
      </c>
      <c r="F22" s="249">
        <v>0.1</v>
      </c>
      <c r="G22" s="249">
        <v>0.12</v>
      </c>
      <c r="H22" s="249">
        <v>0.13500000000000001</v>
      </c>
      <c r="I22" s="249">
        <v>0.08</v>
      </c>
      <c r="O22" s="285"/>
    </row>
    <row r="23" spans="2:15" ht="15.5" x14ac:dyDescent="0.3">
      <c r="B23" s="68" t="s">
        <v>311</v>
      </c>
      <c r="C23" s="66"/>
      <c r="D23" s="193">
        <f>D87/D97</f>
        <v>0.65788446244493948</v>
      </c>
      <c r="E23" s="249">
        <v>0.65</v>
      </c>
      <c r="F23" s="249">
        <v>0.65</v>
      </c>
      <c r="G23" s="249">
        <v>0.64</v>
      </c>
      <c r="H23" s="249">
        <v>0.64</v>
      </c>
      <c r="I23" s="249">
        <v>0.63</v>
      </c>
    </row>
    <row r="24" spans="2:15" ht="15.5" x14ac:dyDescent="0.3">
      <c r="B24" s="68" t="s">
        <v>312</v>
      </c>
      <c r="C24" s="66"/>
      <c r="D24" s="193">
        <f>D65/D49</f>
        <v>8.4083940968085275E-2</v>
      </c>
      <c r="E24" s="249">
        <v>0.1</v>
      </c>
      <c r="F24" s="249">
        <v>0</v>
      </c>
      <c r="G24" s="249">
        <v>8.5000000000000006E-2</v>
      </c>
      <c r="H24" s="249">
        <v>0.09</v>
      </c>
      <c r="I24" s="249">
        <v>0.11</v>
      </c>
    </row>
    <row r="25" spans="2:15" ht="15.5" x14ac:dyDescent="0.3">
      <c r="B25" s="68" t="s">
        <v>313</v>
      </c>
      <c r="C25" s="66"/>
      <c r="D25" s="310">
        <v>392606</v>
      </c>
      <c r="E25" s="311">
        <f>D25</f>
        <v>392606</v>
      </c>
      <c r="F25" s="311">
        <f t="shared" ref="F25:I25" si="2">E25</f>
        <v>392606</v>
      </c>
      <c r="G25" s="311">
        <f t="shared" si="2"/>
        <v>392606</v>
      </c>
      <c r="H25" s="311">
        <f t="shared" si="2"/>
        <v>392606</v>
      </c>
      <c r="I25" s="311">
        <f t="shared" si="2"/>
        <v>392606</v>
      </c>
    </row>
    <row r="26" spans="2:15" ht="15.5" x14ac:dyDescent="0.3">
      <c r="B26" s="68" t="s">
        <v>314</v>
      </c>
      <c r="C26" s="66"/>
      <c r="D26" s="310">
        <f>D73</f>
        <v>6089</v>
      </c>
      <c r="E26" s="311">
        <f>D26+(D26*1.5%)</f>
        <v>6180.335</v>
      </c>
      <c r="F26" s="311">
        <v>0</v>
      </c>
      <c r="G26" s="311">
        <v>5500</v>
      </c>
      <c r="H26" s="311">
        <v>6050</v>
      </c>
      <c r="I26" s="311">
        <v>6150</v>
      </c>
    </row>
    <row r="27" spans="2:15" ht="15.5" x14ac:dyDescent="0.3">
      <c r="B27" s="68" t="s">
        <v>315</v>
      </c>
      <c r="C27" s="66"/>
      <c r="D27" s="315">
        <f>D79/D62</f>
        <v>0.27664025770154166</v>
      </c>
      <c r="E27" s="268">
        <v>0.27</v>
      </c>
      <c r="F27" s="268">
        <v>0.27</v>
      </c>
      <c r="G27" s="268">
        <v>0.27</v>
      </c>
      <c r="H27" s="268">
        <v>0.27</v>
      </c>
      <c r="I27" s="268">
        <v>0.27</v>
      </c>
    </row>
    <row r="28" spans="2:15" ht="15.5" x14ac:dyDescent="0.3">
      <c r="B28" s="68" t="s">
        <v>316</v>
      </c>
      <c r="C28" s="66"/>
      <c r="D28" s="193">
        <f>D80/-D48</f>
        <v>0.56360771535936827</v>
      </c>
      <c r="E28" s="249">
        <v>0.52</v>
      </c>
      <c r="F28" s="249">
        <v>0.52</v>
      </c>
      <c r="G28" s="249">
        <v>0.52</v>
      </c>
      <c r="H28" s="249">
        <v>0.52</v>
      </c>
      <c r="I28" s="249">
        <v>0.52</v>
      </c>
    </row>
    <row r="29" spans="2:15" ht="15.5" x14ac:dyDescent="0.3">
      <c r="B29" s="68" t="s">
        <v>317</v>
      </c>
      <c r="C29" s="66"/>
      <c r="D29" s="193">
        <v>9.4000000000000004E-3</v>
      </c>
      <c r="E29" s="249">
        <v>5.0000000000000001E-3</v>
      </c>
      <c r="F29" s="249">
        <v>5.0000000000000001E-3</v>
      </c>
      <c r="G29" s="249">
        <v>5.0000000000000001E-3</v>
      </c>
      <c r="H29" s="249">
        <v>5.0000000000000001E-3</v>
      </c>
      <c r="I29" s="249">
        <v>5.0000000000000001E-3</v>
      </c>
    </row>
    <row r="30" spans="2:15" ht="15.5" x14ac:dyDescent="0.3">
      <c r="B30" s="68" t="s">
        <v>318</v>
      </c>
      <c r="C30" s="66"/>
      <c r="D30" s="193">
        <f>D83/D52</f>
        <v>0</v>
      </c>
      <c r="E30" s="249">
        <v>0.25</v>
      </c>
      <c r="F30" s="249">
        <v>1</v>
      </c>
      <c r="G30" s="249">
        <v>0</v>
      </c>
      <c r="H30" s="249">
        <v>0</v>
      </c>
      <c r="I30" s="249">
        <v>0.25</v>
      </c>
    </row>
    <row r="31" spans="2:15" ht="15.5" x14ac:dyDescent="0.3">
      <c r="B31" s="319" t="s">
        <v>319</v>
      </c>
      <c r="C31" s="320"/>
      <c r="D31" s="309">
        <f>D84</f>
        <v>551721</v>
      </c>
      <c r="E31" s="296">
        <v>0</v>
      </c>
      <c r="F31" s="296">
        <v>0</v>
      </c>
      <c r="G31" s="296">
        <v>289101</v>
      </c>
      <c r="H31" s="296">
        <v>551721</v>
      </c>
      <c r="I31" s="296">
        <v>0</v>
      </c>
    </row>
    <row r="32" spans="2:15" ht="15.5" x14ac:dyDescent="0.3">
      <c r="B32" s="68" t="s">
        <v>320</v>
      </c>
      <c r="C32" s="66"/>
      <c r="D32" s="193">
        <v>4.3900000000000002E-2</v>
      </c>
      <c r="E32" s="249">
        <v>0.04</v>
      </c>
      <c r="F32" s="249">
        <v>3.7499999999999999E-2</v>
      </c>
      <c r="G32" s="249">
        <v>3.5000000000000003E-2</v>
      </c>
      <c r="H32" s="249">
        <v>3.2500000000000001E-2</v>
      </c>
      <c r="I32" s="249">
        <v>0.03</v>
      </c>
    </row>
    <row r="33" spans="2:9" ht="15.5" x14ac:dyDescent="0.3">
      <c r="B33" s="68" t="s">
        <v>321</v>
      </c>
      <c r="C33" s="66"/>
      <c r="D33" s="309">
        <v>-4</v>
      </c>
      <c r="E33" s="296">
        <v>-5.49</v>
      </c>
      <c r="F33" s="296">
        <v>-5.49</v>
      </c>
      <c r="G33" s="296">
        <v>-5.49</v>
      </c>
      <c r="H33" s="296">
        <v>-5.49</v>
      </c>
      <c r="I33" s="296">
        <v>-5.49</v>
      </c>
    </row>
    <row r="34" spans="2:9" ht="15.5" x14ac:dyDescent="0.3">
      <c r="B34" s="319" t="s">
        <v>322</v>
      </c>
      <c r="C34" s="320"/>
      <c r="D34" s="309">
        <v>-267</v>
      </c>
      <c r="E34" s="296">
        <v>-4776.68</v>
      </c>
      <c r="F34" s="296">
        <v>-4776.68</v>
      </c>
      <c r="G34" s="296">
        <v>-4776.68</v>
      </c>
      <c r="H34" s="296">
        <v>-4776.68</v>
      </c>
      <c r="I34" s="296">
        <v>-4776.68</v>
      </c>
    </row>
    <row r="35" spans="2:9" ht="15.5" x14ac:dyDescent="0.3">
      <c r="B35" s="68" t="s">
        <v>323</v>
      </c>
      <c r="C35" s="66"/>
      <c r="D35" s="193">
        <v>9.4000000000000004E-3</v>
      </c>
      <c r="E35" s="249">
        <v>1.4999999999999999E-2</v>
      </c>
      <c r="F35" s="249">
        <v>1.4999999999999999E-2</v>
      </c>
      <c r="G35" s="249">
        <v>1.4999999999999999E-2</v>
      </c>
      <c r="H35" s="249">
        <v>1.4999999999999999E-2</v>
      </c>
      <c r="I35" s="249">
        <v>1.4999999999999999E-2</v>
      </c>
    </row>
    <row r="36" spans="2:9" ht="15.5" x14ac:dyDescent="0.3">
      <c r="B36" s="68" t="s">
        <v>324</v>
      </c>
      <c r="C36" s="66"/>
      <c r="D36" s="309">
        <v>23264</v>
      </c>
      <c r="E36" s="296">
        <v>12986.85</v>
      </c>
      <c r="F36" s="296">
        <v>12986.85</v>
      </c>
      <c r="G36" s="296">
        <v>12986.85</v>
      </c>
      <c r="H36" s="296">
        <v>12986.85</v>
      </c>
      <c r="I36" s="296">
        <v>12986.85</v>
      </c>
    </row>
    <row r="37" spans="2:9" ht="15.5" x14ac:dyDescent="0.3">
      <c r="B37" s="68" t="s">
        <v>325</v>
      </c>
      <c r="C37" s="66"/>
      <c r="D37" s="193">
        <v>3.8999999999999998E-3</v>
      </c>
      <c r="E37" s="249">
        <v>0.05</v>
      </c>
      <c r="F37" s="249">
        <v>0.05</v>
      </c>
      <c r="G37" s="249">
        <v>0.05</v>
      </c>
      <c r="H37" s="249">
        <v>0.05</v>
      </c>
      <c r="I37" s="249">
        <v>0.05</v>
      </c>
    </row>
    <row r="40" spans="2:9" ht="20.5" x14ac:dyDescent="0.3">
      <c r="B40" s="69"/>
      <c r="C40" s="70"/>
      <c r="D40" s="70"/>
      <c r="E40" s="55"/>
      <c r="F40" s="52"/>
      <c r="G40" s="52"/>
      <c r="H40" s="52"/>
      <c r="I40" s="53"/>
    </row>
    <row r="41" spans="2:9" ht="18" x14ac:dyDescent="0.3">
      <c r="B41" s="188" t="s">
        <v>223</v>
      </c>
      <c r="C41" s="230"/>
      <c r="D41" s="230"/>
      <c r="E41" s="190" t="s">
        <v>115</v>
      </c>
      <c r="F41" s="231"/>
      <c r="G41" s="231"/>
      <c r="H41" s="231"/>
      <c r="I41" s="231"/>
    </row>
    <row r="42" spans="2:9" ht="20.5" x14ac:dyDescent="0.3">
      <c r="B42" s="69"/>
      <c r="C42" s="70"/>
      <c r="D42" s="70"/>
      <c r="E42" s="71"/>
      <c r="F42" s="52"/>
      <c r="G42" s="52"/>
      <c r="H42" s="52"/>
      <c r="I42" s="52"/>
    </row>
    <row r="43" spans="2:9" ht="17.5" x14ac:dyDescent="0.3">
      <c r="B43" s="98" t="s">
        <v>73</v>
      </c>
      <c r="C43" s="102" t="s">
        <v>47</v>
      </c>
      <c r="D43" s="102" t="s">
        <v>229</v>
      </c>
      <c r="E43" s="102" t="s">
        <v>217</v>
      </c>
      <c r="F43" s="102" t="s">
        <v>218</v>
      </c>
      <c r="G43" s="102" t="s">
        <v>219</v>
      </c>
      <c r="H43" s="102" t="s">
        <v>230</v>
      </c>
      <c r="I43" s="102" t="s">
        <v>236</v>
      </c>
    </row>
    <row r="44" spans="2:9" ht="17.5" x14ac:dyDescent="0.3">
      <c r="B44" s="129" t="s">
        <v>48</v>
      </c>
      <c r="C44" s="270">
        <f>D44/$D$44</f>
        <v>1</v>
      </c>
      <c r="D44" s="306">
        <f>'ULTA Q Rev (Acual)'!C87</f>
        <v>2857623</v>
      </c>
      <c r="E44" s="307">
        <f t="shared" ref="E44:I45" si="3">E10</f>
        <v>2868908.0349592785</v>
      </c>
      <c r="F44" s="307">
        <f t="shared" si="3"/>
        <v>2787071.5524497875</v>
      </c>
      <c r="G44" s="307">
        <f t="shared" si="3"/>
        <v>2837762.5608249819</v>
      </c>
      <c r="H44" s="307">
        <f t="shared" si="3"/>
        <v>3758455.9228021782</v>
      </c>
      <c r="I44" s="307">
        <f t="shared" si="3"/>
        <v>3095924.8875089576</v>
      </c>
    </row>
    <row r="45" spans="2:9" ht="17" x14ac:dyDescent="0.3">
      <c r="B45" s="73" t="s">
        <v>49</v>
      </c>
      <c r="C45" s="240">
        <f>D45/$D$44</f>
        <v>-0.59558521190513936</v>
      </c>
      <c r="D45" s="239">
        <v>-1701958</v>
      </c>
      <c r="E45" s="250">
        <f t="shared" si="3"/>
        <v>-1781573.6789120063</v>
      </c>
      <c r="F45" s="250">
        <f t="shared" si="3"/>
        <v>-1815657.7326317038</v>
      </c>
      <c r="G45" s="250">
        <f t="shared" si="3"/>
        <v>-1823231.9667916372</v>
      </c>
      <c r="H45" s="250">
        <f t="shared" si="3"/>
        <v>-1849741.7863514032</v>
      </c>
      <c r="I45" s="250">
        <f t="shared" si="3"/>
        <v>-1880309.2313539907</v>
      </c>
    </row>
    <row r="46" spans="2:9" ht="15.5" x14ac:dyDescent="0.3">
      <c r="B46" s="53" t="s">
        <v>226</v>
      </c>
      <c r="C46" s="267">
        <f>D46/$D$44</f>
        <v>0.40441478809486064</v>
      </c>
      <c r="D46" s="194">
        <f>D44+D45</f>
        <v>1155665</v>
      </c>
      <c r="E46" s="251">
        <f>E44+E45</f>
        <v>1087334.3560472722</v>
      </c>
      <c r="F46" s="251">
        <f t="shared" ref="F46:I46" si="4">F44+F45</f>
        <v>971413.81981808366</v>
      </c>
      <c r="G46" s="251">
        <f t="shared" si="4"/>
        <v>1014530.5940333446</v>
      </c>
      <c r="H46" s="251">
        <f t="shared" si="4"/>
        <v>1908714.136450775</v>
      </c>
      <c r="I46" s="251">
        <f t="shared" si="4"/>
        <v>1215615.6561549669</v>
      </c>
    </row>
    <row r="47" spans="2:9" ht="15.5" x14ac:dyDescent="0.3">
      <c r="B47" s="53" t="s">
        <v>50</v>
      </c>
      <c r="C47" s="271"/>
      <c r="D47" s="53"/>
      <c r="E47" s="53"/>
      <c r="F47" s="53"/>
      <c r="G47" s="53"/>
      <c r="H47" s="53"/>
      <c r="I47" s="53"/>
    </row>
    <row r="48" spans="2:9" ht="17" x14ac:dyDescent="0.3">
      <c r="B48" s="73" t="s">
        <v>231</v>
      </c>
      <c r="C48" s="240">
        <f t="shared" ref="C48:C55" si="5">D48/$D$44</f>
        <v>-0.29427254749839288</v>
      </c>
      <c r="D48" s="239">
        <v>-840920</v>
      </c>
      <c r="E48" s="250">
        <f>E12</f>
        <v>-786354.46352707781</v>
      </c>
      <c r="F48" s="250">
        <f>F12</f>
        <v>-805786.25002843887</v>
      </c>
      <c r="G48" s="250">
        <f>G12</f>
        <v>-810104.42480651848</v>
      </c>
      <c r="H48" s="250">
        <f>H12</f>
        <v>-825218.03652979899</v>
      </c>
      <c r="I48" s="250">
        <f>I12</f>
        <v>-842644.95616990793</v>
      </c>
    </row>
    <row r="49" spans="2:16" ht="15.5" x14ac:dyDescent="0.3">
      <c r="B49" s="53" t="s">
        <v>246</v>
      </c>
      <c r="C49" s="267">
        <f t="shared" si="5"/>
        <v>0.11014224059646777</v>
      </c>
      <c r="D49" s="194">
        <f>D46+D48</f>
        <v>314745</v>
      </c>
      <c r="E49" s="251">
        <f>E46+E48</f>
        <v>300979.89252019441</v>
      </c>
      <c r="F49" s="251">
        <f t="shared" ref="F49:I49" si="6">F46+F48</f>
        <v>165627.5697896448</v>
      </c>
      <c r="G49" s="251">
        <f t="shared" si="6"/>
        <v>204426.16922682617</v>
      </c>
      <c r="H49" s="251">
        <f t="shared" si="6"/>
        <v>1083496.099920976</v>
      </c>
      <c r="I49" s="251">
        <f t="shared" si="6"/>
        <v>372970.69998505898</v>
      </c>
    </row>
    <row r="50" spans="2:16" ht="17" x14ac:dyDescent="0.3">
      <c r="B50" s="73" t="s">
        <v>248</v>
      </c>
      <c r="C50" s="266">
        <f t="shared" si="5"/>
        <v>-3.3065943268233773E-3</v>
      </c>
      <c r="D50" s="239">
        <v>-9449</v>
      </c>
      <c r="E50" s="250">
        <f>E13</f>
        <v>-3197.845256764449</v>
      </c>
      <c r="F50" s="250">
        <f>F13</f>
        <v>-3056.1185004111612</v>
      </c>
      <c r="G50" s="250">
        <f>G13</f>
        <v>-3024.6236656659821</v>
      </c>
      <c r="H50" s="250">
        <f>H13</f>
        <v>-2914.3917440578662</v>
      </c>
      <c r="I50" s="250">
        <f>I13</f>
        <v>-2787.2875895505495</v>
      </c>
    </row>
    <row r="51" spans="2:16" ht="18" x14ac:dyDescent="0.3">
      <c r="B51" s="280" t="s">
        <v>249</v>
      </c>
      <c r="C51" s="281">
        <f t="shared" si="5"/>
        <v>0.10683564626964438</v>
      </c>
      <c r="D51" s="282">
        <f>D49+D50</f>
        <v>305296</v>
      </c>
      <c r="E51" s="283">
        <f>SUM(E49:E50)</f>
        <v>297782.04726342997</v>
      </c>
      <c r="F51" s="283">
        <f t="shared" ref="F51:I51" si="7">SUM(F49:F50)</f>
        <v>162571.45128923364</v>
      </c>
      <c r="G51" s="283">
        <f t="shared" si="7"/>
        <v>201401.54556116019</v>
      </c>
      <c r="H51" s="283">
        <f t="shared" si="7"/>
        <v>1080581.7081769181</v>
      </c>
      <c r="I51" s="283">
        <f t="shared" si="7"/>
        <v>370183.41239550844</v>
      </c>
      <c r="P51" s="308"/>
    </row>
    <row r="52" spans="2:16" ht="17" x14ac:dyDescent="0.3">
      <c r="B52" s="74" t="s">
        <v>254</v>
      </c>
      <c r="C52" s="266">
        <f t="shared" si="5"/>
        <v>-2.5698281403810089E-2</v>
      </c>
      <c r="D52" s="241">
        <v>-73436</v>
      </c>
      <c r="E52" s="252">
        <f>E14</f>
        <v>-98039.97390263027</v>
      </c>
      <c r="F52" s="252">
        <f>F14</f>
        <v>-99978.00893373997</v>
      </c>
      <c r="G52" s="252">
        <f>G14</f>
        <v>-100408.68338509777</v>
      </c>
      <c r="H52" s="252">
        <f>H14</f>
        <v>-101916.04396484978</v>
      </c>
      <c r="I52" s="252">
        <f>I14</f>
        <v>-103654.12300068629</v>
      </c>
    </row>
    <row r="53" spans="2:16" ht="15.5" x14ac:dyDescent="0.3">
      <c r="B53" s="57" t="s">
        <v>232</v>
      </c>
      <c r="C53" s="267">
        <f t="shared" si="5"/>
        <v>8.1137364865834297E-2</v>
      </c>
      <c r="D53" s="242">
        <f>D51+D52</f>
        <v>231860</v>
      </c>
      <c r="E53" s="274">
        <f>E51+E52</f>
        <v>199742.0733607997</v>
      </c>
      <c r="F53" s="274">
        <f t="shared" ref="F53:I53" si="8">F51+F52</f>
        <v>62593.442355493666</v>
      </c>
      <c r="G53" s="274">
        <f t="shared" si="8"/>
        <v>100992.86217606242</v>
      </c>
      <c r="H53" s="274">
        <f t="shared" si="8"/>
        <v>978665.66421206831</v>
      </c>
      <c r="I53" s="274">
        <f t="shared" si="8"/>
        <v>266529.28939482215</v>
      </c>
    </row>
    <row r="54" spans="2:16" ht="17" x14ac:dyDescent="0.3">
      <c r="B54" s="74" t="s">
        <v>233</v>
      </c>
      <c r="C54" s="266">
        <f t="shared" si="5"/>
        <v>-3.4469207449688079E-4</v>
      </c>
      <c r="D54" s="241">
        <v>-985</v>
      </c>
      <c r="E54" s="252">
        <f>E15</f>
        <v>-736.66666666666663</v>
      </c>
      <c r="F54" s="252">
        <f>F15</f>
        <v>-736.66666666666663</v>
      </c>
      <c r="G54" s="252">
        <f>G15</f>
        <v>-736.66666666666663</v>
      </c>
      <c r="H54" s="252">
        <f>H15</f>
        <v>-736.66666666666663</v>
      </c>
      <c r="I54" s="252">
        <f>I15</f>
        <v>-736.66666666666663</v>
      </c>
    </row>
    <row r="55" spans="2:16" ht="15" x14ac:dyDescent="0.3">
      <c r="B55" s="284" t="s">
        <v>247</v>
      </c>
      <c r="C55" s="273">
        <f t="shared" si="5"/>
        <v>8.0792672791337422E-2</v>
      </c>
      <c r="D55" s="304">
        <f t="shared" ref="D55:I55" si="9">D53+D54</f>
        <v>230875</v>
      </c>
      <c r="E55" s="305">
        <f t="shared" si="9"/>
        <v>199005.40669413304</v>
      </c>
      <c r="F55" s="305">
        <f t="shared" si="9"/>
        <v>61856.775688827001</v>
      </c>
      <c r="G55" s="305">
        <f t="shared" si="9"/>
        <v>100256.19550939575</v>
      </c>
      <c r="H55" s="305">
        <f t="shared" si="9"/>
        <v>977928.99754540168</v>
      </c>
      <c r="I55" s="305">
        <f t="shared" si="9"/>
        <v>265792.62272815546</v>
      </c>
    </row>
    <row r="59" spans="2:16" ht="17.5" x14ac:dyDescent="0.3">
      <c r="B59" s="100" t="s">
        <v>67</v>
      </c>
      <c r="C59" s="103" t="s">
        <v>47</v>
      </c>
      <c r="D59" s="102" t="s">
        <v>229</v>
      </c>
      <c r="E59" s="102" t="s">
        <v>217</v>
      </c>
      <c r="F59" s="102" t="s">
        <v>218</v>
      </c>
      <c r="G59" s="102" t="s">
        <v>219</v>
      </c>
      <c r="H59" s="102" t="s">
        <v>230</v>
      </c>
      <c r="I59" s="102" t="s">
        <v>236</v>
      </c>
    </row>
    <row r="60" spans="2:16" ht="15.5" x14ac:dyDescent="0.3">
      <c r="B60" s="75" t="s">
        <v>52</v>
      </c>
      <c r="C60" s="76"/>
      <c r="D60" s="76"/>
      <c r="E60" s="53"/>
      <c r="F60" s="53"/>
      <c r="G60" s="53"/>
      <c r="H60" s="53"/>
      <c r="I60" s="53"/>
    </row>
    <row r="61" spans="2:16" ht="15.5" x14ac:dyDescent="0.3">
      <c r="B61" s="68" t="s">
        <v>264</v>
      </c>
      <c r="C61" s="267">
        <f>D61/$D$44</f>
        <v>7.1710299084238899E-2</v>
      </c>
      <c r="D61" s="232">
        <v>204921</v>
      </c>
      <c r="E61" s="251">
        <f>E21</f>
        <v>692934.26540000003</v>
      </c>
      <c r="F61" s="251">
        <f t="shared" ref="F61:I61" si="10">F21</f>
        <v>403619.6262</v>
      </c>
      <c r="G61" s="251">
        <f t="shared" si="10"/>
        <v>206066.23050000001</v>
      </c>
      <c r="H61" s="251">
        <f t="shared" si="10"/>
        <v>211621.9167</v>
      </c>
      <c r="I61" s="251">
        <f t="shared" si="10"/>
        <v>682817.16360000009</v>
      </c>
    </row>
    <row r="62" spans="2:16" ht="15.5" x14ac:dyDescent="0.3">
      <c r="B62" s="68" t="s">
        <v>265</v>
      </c>
      <c r="C62" s="267">
        <f t="shared" ref="C62:C66" si="11">D62/$D$44</f>
        <v>0.96011230312745943</v>
      </c>
      <c r="D62" s="232">
        <v>2743639</v>
      </c>
      <c r="E62" s="251">
        <f>(E22*D62)+D62</f>
        <v>2963130.12</v>
      </c>
      <c r="F62" s="251">
        <f>(F22*E62)+E62</f>
        <v>3259443.1320000002</v>
      </c>
      <c r="G62" s="251">
        <f>(G22*F62)+F62</f>
        <v>3650576.3078400004</v>
      </c>
      <c r="H62" s="251">
        <f>(H22*G62)+G62</f>
        <v>4143404.1093984004</v>
      </c>
      <c r="I62" s="251">
        <f>(I22*H62)+H62</f>
        <v>4474876.4381502727</v>
      </c>
    </row>
    <row r="63" spans="2:16" ht="15.5" x14ac:dyDescent="0.3">
      <c r="B63" s="68" t="s">
        <v>266</v>
      </c>
      <c r="C63" s="267">
        <f t="shared" si="11"/>
        <v>8.3059241894399644E-2</v>
      </c>
      <c r="D63" s="232">
        <v>237352</v>
      </c>
      <c r="E63" s="251">
        <f>$C$63*E44</f>
        <v>238289.32644846945</v>
      </c>
      <c r="F63" s="251">
        <f>$C$63*F44</f>
        <v>231492.05025192685</v>
      </c>
      <c r="G63" s="251">
        <f>$C$63*G44</f>
        <v>235702.40697843317</v>
      </c>
      <c r="H63" s="251">
        <f>$C$63*H44</f>
        <v>312174.49964146514</v>
      </c>
      <c r="I63" s="251">
        <f>$C$63*I44</f>
        <v>257145.17411849851</v>
      </c>
    </row>
    <row r="64" spans="2:16" ht="15.5" x14ac:dyDescent="0.3">
      <c r="B64" s="324" t="s">
        <v>267</v>
      </c>
      <c r="C64" s="325">
        <f t="shared" si="11"/>
        <v>5.5428585226252727E-2</v>
      </c>
      <c r="D64" s="326">
        <v>158394</v>
      </c>
      <c r="E64" s="327">
        <f>D64</f>
        <v>158394</v>
      </c>
      <c r="F64" s="327">
        <f>E64</f>
        <v>158394</v>
      </c>
      <c r="G64" s="327">
        <f>G77-G76-G65-G63-G62-G61</f>
        <v>2204258.3324128529</v>
      </c>
      <c r="H64" s="327">
        <f>G64</f>
        <v>2204258.3324128529</v>
      </c>
      <c r="I64" s="327">
        <f>I77-I76-I65-I63-I62-I61</f>
        <v>6530147.3827078622</v>
      </c>
    </row>
    <row r="65" spans="2:17" ht="17" x14ac:dyDescent="0.3">
      <c r="B65" s="78" t="s">
        <v>268</v>
      </c>
      <c r="C65" s="240">
        <f t="shared" si="11"/>
        <v>9.2611936564060415E-3</v>
      </c>
      <c r="D65" s="233">
        <v>26465</v>
      </c>
      <c r="E65" s="250">
        <f>E24*E49</f>
        <v>30097.989252019441</v>
      </c>
      <c r="F65" s="250">
        <f>F24*F49</f>
        <v>0</v>
      </c>
      <c r="G65" s="250">
        <f>G24*G49</f>
        <v>17376.224384280227</v>
      </c>
      <c r="H65" s="250">
        <f>H24*H49</f>
        <v>97514.648992887829</v>
      </c>
      <c r="I65" s="250">
        <f>I24*I49</f>
        <v>41026.776998356487</v>
      </c>
    </row>
    <row r="66" spans="2:17" ht="15.5" x14ac:dyDescent="0.3">
      <c r="B66" s="68" t="s">
        <v>269</v>
      </c>
      <c r="C66" s="267">
        <f t="shared" si="11"/>
        <v>1.1795716229887567</v>
      </c>
      <c r="D66" s="232">
        <f>SUM(D61:D65)</f>
        <v>3370771</v>
      </c>
      <c r="E66" s="292">
        <f t="shared" ref="E66:I66" si="12">SUM(E61:E65)</f>
        <v>4082845.7011004891</v>
      </c>
      <c r="F66" s="292">
        <f t="shared" si="12"/>
        <v>4052948.8084519268</v>
      </c>
      <c r="G66" s="292">
        <f t="shared" si="12"/>
        <v>6313979.5021155663</v>
      </c>
      <c r="H66" s="292">
        <f t="shared" si="12"/>
        <v>6968973.507145606</v>
      </c>
      <c r="I66" s="292">
        <f t="shared" si="12"/>
        <v>11986012.93557499</v>
      </c>
    </row>
    <row r="67" spans="2:17" ht="15.5" x14ac:dyDescent="0.3">
      <c r="B67" s="75" t="s">
        <v>53</v>
      </c>
      <c r="C67" s="272"/>
      <c r="D67" s="53"/>
      <c r="E67" s="53"/>
      <c r="F67" s="53"/>
      <c r="G67" s="53"/>
      <c r="H67" s="53"/>
      <c r="I67" s="53"/>
    </row>
    <row r="68" spans="2:17" ht="15.5" x14ac:dyDescent="0.3">
      <c r="B68" s="68" t="s">
        <v>258</v>
      </c>
      <c r="C68" s="267">
        <f>D68/$D$44</f>
        <v>0</v>
      </c>
      <c r="D68" s="232">
        <v>0</v>
      </c>
      <c r="E68" s="251">
        <f>E70+E69</f>
        <v>717701.6207761094</v>
      </c>
      <c r="F68" s="251">
        <f>F70+F69</f>
        <v>3103816.255323045</v>
      </c>
      <c r="G68" s="251">
        <f t="shared" ref="G68:I68" si="13">G70+G69</f>
        <v>3117419.6185556985</v>
      </c>
      <c r="H68" s="251">
        <f t="shared" si="13"/>
        <v>3165031.3898699805</v>
      </c>
      <c r="I68" s="251">
        <f t="shared" si="13"/>
        <v>723962.67720175534</v>
      </c>
    </row>
    <row r="69" spans="2:17" ht="15.5" x14ac:dyDescent="0.3">
      <c r="B69" s="68" t="s">
        <v>240</v>
      </c>
      <c r="C69" s="267">
        <f t="shared" ref="C69:C77" si="14">D69/$D$44</f>
        <v>0</v>
      </c>
      <c r="D69" s="232">
        <v>0</v>
      </c>
      <c r="E69" s="251">
        <f>E18</f>
        <v>-2324899.5</v>
      </c>
      <c r="F69" s="251">
        <f>F18</f>
        <v>0</v>
      </c>
      <c r="G69" s="251">
        <f>G18</f>
        <v>0</v>
      </c>
      <c r="H69" s="251">
        <f>H18</f>
        <v>0</v>
      </c>
      <c r="I69" s="251">
        <f>I18</f>
        <v>-2495968</v>
      </c>
      <c r="M69" s="285"/>
      <c r="N69" s="285"/>
      <c r="O69" s="285"/>
      <c r="P69" s="285"/>
      <c r="Q69" s="285"/>
    </row>
    <row r="70" spans="2:17" ht="15.5" x14ac:dyDescent="0.3">
      <c r="B70" s="68" t="s">
        <v>224</v>
      </c>
      <c r="C70" s="267">
        <f t="shared" si="14"/>
        <v>0.47819603915561992</v>
      </c>
      <c r="D70" s="289">
        <v>1366504</v>
      </c>
      <c r="E70" s="251">
        <f>E17</f>
        <v>3042601.1207761094</v>
      </c>
      <c r="F70" s="251">
        <f>F17</f>
        <v>3103816.255323045</v>
      </c>
      <c r="G70" s="251">
        <f>G17</f>
        <v>3117419.6185556985</v>
      </c>
      <c r="H70" s="251">
        <f>H17</f>
        <v>3165031.3898699805</v>
      </c>
      <c r="I70" s="251">
        <f>I17</f>
        <v>3219930.6772017553</v>
      </c>
      <c r="M70" s="285"/>
      <c r="N70" s="285"/>
      <c r="O70" s="285"/>
      <c r="P70" s="285"/>
      <c r="Q70" s="285"/>
    </row>
    <row r="71" spans="2:17" ht="15.5" x14ac:dyDescent="0.3">
      <c r="B71" s="68" t="s">
        <v>259</v>
      </c>
      <c r="C71" s="267">
        <f t="shared" si="14"/>
        <v>0.59868079169295596</v>
      </c>
      <c r="D71" s="232">
        <v>1710804</v>
      </c>
      <c r="E71" s="251">
        <f>$C$71*E44</f>
        <v>1717560.1336637035</v>
      </c>
      <c r="F71" s="251">
        <f>$C$71*F44</f>
        <v>1668566.2035255546</v>
      </c>
      <c r="G71" s="251">
        <f>$C$71*G44</f>
        <v>1698913.9365513301</v>
      </c>
      <c r="H71" s="251">
        <f>$C$71*H44</f>
        <v>2250115.3674062872</v>
      </c>
      <c r="I71" s="251">
        <f>$C$71*I44</f>
        <v>1853470.7626757885</v>
      </c>
      <c r="M71" s="285"/>
      <c r="N71" s="285"/>
      <c r="O71" s="285"/>
      <c r="P71" s="285"/>
      <c r="Q71" s="285"/>
    </row>
    <row r="72" spans="2:17" ht="15.5" x14ac:dyDescent="0.35">
      <c r="B72" s="68" t="s">
        <v>260</v>
      </c>
      <c r="C72" s="267">
        <f t="shared" si="14"/>
        <v>0.13738901177657095</v>
      </c>
      <c r="D72" s="265">
        <v>392606</v>
      </c>
      <c r="E72" s="251">
        <f>E25</f>
        <v>392606</v>
      </c>
      <c r="F72" s="251">
        <f>F25</f>
        <v>392606</v>
      </c>
      <c r="G72" s="251">
        <f>G25</f>
        <v>392606</v>
      </c>
      <c r="H72" s="251">
        <f>H25</f>
        <v>392606</v>
      </c>
      <c r="I72" s="251">
        <f>I25</f>
        <v>392606</v>
      </c>
    </row>
    <row r="73" spans="2:17" ht="15.5" x14ac:dyDescent="0.3">
      <c r="B73" s="68" t="s">
        <v>261</v>
      </c>
      <c r="C73" s="267">
        <f t="shared" si="14"/>
        <v>2.1307919204177736E-3</v>
      </c>
      <c r="D73" s="232">
        <v>6089</v>
      </c>
      <c r="E73" s="251">
        <f>$C$73*E44</f>
        <v>6113.0460613128625</v>
      </c>
      <c r="F73" s="251">
        <f>$C$73*F44</f>
        <v>5938.6695455862282</v>
      </c>
      <c r="G73" s="251">
        <f>$C$73*G44</f>
        <v>6046.681536669922</v>
      </c>
      <c r="H73" s="251">
        <f>$C$73*H44</f>
        <v>8008.4875135532084</v>
      </c>
      <c r="I73" s="251">
        <f>$C$73*I44</f>
        <v>6596.7717365243916</v>
      </c>
    </row>
    <row r="74" spans="2:17" ht="15.5" x14ac:dyDescent="0.3">
      <c r="B74" s="68" t="s">
        <v>262</v>
      </c>
      <c r="C74" s="267">
        <f t="shared" si="14"/>
        <v>1.8436301779485957E-2</v>
      </c>
      <c r="D74" s="232">
        <v>52684</v>
      </c>
      <c r="E74" s="274">
        <f>$C$74*E44</f>
        <v>52892.05431010131</v>
      </c>
      <c r="F74" s="274">
        <f>$C$74*F44</f>
        <v>51383.29222198471</v>
      </c>
      <c r="G74" s="274">
        <f>$C$74*G44</f>
        <v>52317.846949896237</v>
      </c>
      <c r="H74" s="274">
        <f>$C$74*H44</f>
        <v>69292.027617677333</v>
      </c>
      <c r="I74" s="274">
        <f>$C$74*I44</f>
        <v>57077.405512736259</v>
      </c>
    </row>
    <row r="75" spans="2:17" ht="15.5" x14ac:dyDescent="0.3">
      <c r="B75" s="68" t="s">
        <v>263</v>
      </c>
      <c r="C75" s="267">
        <f t="shared" si="14"/>
        <v>3.9485264501300556E-2</v>
      </c>
      <c r="D75" s="232">
        <v>112834</v>
      </c>
      <c r="E75" s="274">
        <f>$C$75*E44</f>
        <v>113279.59259027353</v>
      </c>
      <c r="F75" s="274">
        <f>$C$75*F44</f>
        <v>110048.25743253023</v>
      </c>
      <c r="G75" s="274">
        <f>$C$75*G44</f>
        <v>112049.80530606242</v>
      </c>
      <c r="H75" s="274">
        <f>$C$75*H44</f>
        <v>148403.62622832367</v>
      </c>
      <c r="I75" s="274">
        <f>$C$75*I44</f>
        <v>122243.41305945037</v>
      </c>
    </row>
    <row r="76" spans="2:17" ht="15.5" x14ac:dyDescent="0.3">
      <c r="B76" s="78" t="s">
        <v>326</v>
      </c>
      <c r="C76" s="240"/>
      <c r="D76" s="234">
        <f>SUM(D68:D75)</f>
        <v>3641521</v>
      </c>
      <c r="E76" s="323">
        <f t="shared" ref="E76:I76" si="15">SUM(E68:E75)</f>
        <v>3717854.0681776097</v>
      </c>
      <c r="F76" s="323">
        <f t="shared" si="15"/>
        <v>8436174.933371745</v>
      </c>
      <c r="G76" s="323">
        <f t="shared" si="15"/>
        <v>8496773.5074553564</v>
      </c>
      <c r="H76" s="323">
        <f t="shared" si="15"/>
        <v>9198488.2885058019</v>
      </c>
      <c r="I76" s="323">
        <f t="shared" si="15"/>
        <v>3879919.7073880099</v>
      </c>
    </row>
    <row r="77" spans="2:17" ht="19" x14ac:dyDescent="0.3">
      <c r="B77" s="130" t="s">
        <v>113</v>
      </c>
      <c r="C77" s="291">
        <f t="shared" si="14"/>
        <v>2.4538898238151079</v>
      </c>
      <c r="D77" s="290">
        <f>D76+D66</f>
        <v>7012292</v>
      </c>
      <c r="E77" s="293">
        <f t="shared" ref="E77" si="16">E76+E66</f>
        <v>7800699.7692780988</v>
      </c>
      <c r="F77" s="293">
        <f t="shared" ref="F77" si="17">F76+F66</f>
        <v>12489123.741823671</v>
      </c>
      <c r="G77" s="293">
        <f>G98</f>
        <v>14810753.009570923</v>
      </c>
      <c r="H77" s="293">
        <f t="shared" ref="H77" si="18">H76+H66</f>
        <v>16167461.795651408</v>
      </c>
      <c r="I77" s="293">
        <f>I98</f>
        <v>15865932.642963</v>
      </c>
    </row>
    <row r="78" spans="2:17" ht="15.5" x14ac:dyDescent="0.3">
      <c r="B78" s="75" t="s">
        <v>54</v>
      </c>
      <c r="C78" s="272"/>
      <c r="D78" s="53"/>
      <c r="E78" s="53"/>
      <c r="F78" s="53"/>
      <c r="G78" s="53"/>
      <c r="H78" s="53"/>
      <c r="I78" s="53"/>
    </row>
    <row r="79" spans="2:17" ht="15.5" x14ac:dyDescent="0.3">
      <c r="B79" s="68" t="s">
        <v>270</v>
      </c>
      <c r="C79" s="267">
        <f>D79/$D$44</f>
        <v>0.26560571495960106</v>
      </c>
      <c r="D79" s="232">
        <v>759001</v>
      </c>
      <c r="E79" s="251">
        <f>E27*E62</f>
        <v>800045.13240000012</v>
      </c>
      <c r="F79" s="251">
        <f>F27*F62</f>
        <v>880049.64564000012</v>
      </c>
      <c r="G79" s="251">
        <f>G27*G62</f>
        <v>985655.60311680019</v>
      </c>
      <c r="H79" s="251">
        <f>H27*H62</f>
        <v>1118719.1095375682</v>
      </c>
      <c r="I79" s="251">
        <f>I27*I62</f>
        <v>1208216.6383005737</v>
      </c>
    </row>
    <row r="80" spans="2:17" ht="15.5" x14ac:dyDescent="0.3">
      <c r="B80" s="68" t="s">
        <v>307</v>
      </c>
      <c r="C80" s="267">
        <f t="shared" ref="C80:C85" si="19">D80/$D$44</f>
        <v>0.16585427818855042</v>
      </c>
      <c r="D80" s="232">
        <v>473949</v>
      </c>
      <c r="E80" s="251">
        <f>E28*-E48</f>
        <v>408904.32103408047</v>
      </c>
      <c r="F80" s="251">
        <f>F28*-F48</f>
        <v>419008.85001478822</v>
      </c>
      <c r="G80" s="251">
        <f>G28*-G48</f>
        <v>421254.30089938961</v>
      </c>
      <c r="H80" s="251">
        <f>H28*-H48</f>
        <v>429113.3789954955</v>
      </c>
      <c r="I80" s="251">
        <f>I28*-I48</f>
        <v>438175.37720835215</v>
      </c>
    </row>
    <row r="81" spans="2:9" ht="15.5" x14ac:dyDescent="0.3">
      <c r="B81" s="68" t="s">
        <v>271</v>
      </c>
      <c r="C81" s="267">
        <f t="shared" si="19"/>
        <v>0.16201017419022734</v>
      </c>
      <c r="D81" s="232">
        <v>462964</v>
      </c>
      <c r="E81" s="251">
        <f>(E29*D81)+D81</f>
        <v>465278.82</v>
      </c>
      <c r="F81" s="251">
        <f>(F29*E81)+E81</f>
        <v>467605.21409999998</v>
      </c>
      <c r="G81" s="251">
        <f>(G29*F81)+F81</f>
        <v>469943.24017050001</v>
      </c>
      <c r="H81" s="251">
        <f>(H29*G81)+G81</f>
        <v>472292.95637135248</v>
      </c>
      <c r="I81" s="251">
        <f>(I29*H81)+H81</f>
        <v>474654.42115320923</v>
      </c>
    </row>
    <row r="82" spans="2:9" ht="15.5" x14ac:dyDescent="0.3">
      <c r="B82" s="324" t="s">
        <v>272</v>
      </c>
      <c r="C82" s="325">
        <f t="shared" si="19"/>
        <v>0.10173350368470578</v>
      </c>
      <c r="D82" s="328">
        <v>290716</v>
      </c>
      <c r="E82" s="327">
        <f>E98-E97-E83-E84-E81-E80-E79</f>
        <v>3381856.0223683598</v>
      </c>
      <c r="F82" s="327">
        <f>F98-F97-F83-F84-F81-F80-F79</f>
        <v>7811340.7231351444</v>
      </c>
      <c r="G82" s="327">
        <f>F82</f>
        <v>7811340.7231351444</v>
      </c>
      <c r="H82" s="327">
        <f>H98-H97-H90-H83-H84-H81-H80-H79</f>
        <v>8618561.0815057158</v>
      </c>
      <c r="I82" s="327">
        <f>H82</f>
        <v>8618561.0815057158</v>
      </c>
    </row>
    <row r="83" spans="2:9" ht="15.5" x14ac:dyDescent="0.3">
      <c r="B83" s="68" t="s">
        <v>273</v>
      </c>
      <c r="C83" s="267">
        <f t="shared" si="19"/>
        <v>0</v>
      </c>
      <c r="D83" s="289">
        <v>0</v>
      </c>
      <c r="E83" s="251">
        <f>E30*-E52</f>
        <v>24509.993475657568</v>
      </c>
      <c r="F83" s="251">
        <f>F30*-F52</f>
        <v>99978.00893373997</v>
      </c>
      <c r="G83" s="251">
        <f>G30*-G52</f>
        <v>0</v>
      </c>
      <c r="H83" s="251">
        <f>H30*-H52</f>
        <v>0</v>
      </c>
      <c r="I83" s="251">
        <f>I30*-I52</f>
        <v>25913.530750171572</v>
      </c>
    </row>
    <row r="84" spans="2:9" ht="17" x14ac:dyDescent="0.3">
      <c r="B84" s="78" t="s">
        <v>274</v>
      </c>
      <c r="C84" s="329">
        <f t="shared" si="19"/>
        <v>0.19306990460253154</v>
      </c>
      <c r="D84" s="288">
        <v>551721</v>
      </c>
      <c r="E84" s="330">
        <f>E31</f>
        <v>0</v>
      </c>
      <c r="F84" s="330">
        <f t="shared" ref="F84:I84" si="20">F31</f>
        <v>0</v>
      </c>
      <c r="G84" s="330">
        <f t="shared" si="20"/>
        <v>289101</v>
      </c>
      <c r="H84" s="330">
        <f t="shared" si="20"/>
        <v>551721</v>
      </c>
      <c r="I84" s="330">
        <f t="shared" si="20"/>
        <v>0</v>
      </c>
    </row>
    <row r="85" spans="2:9" ht="15.5" x14ac:dyDescent="0.3">
      <c r="B85" s="68" t="s">
        <v>275</v>
      </c>
      <c r="C85" s="267">
        <f t="shared" si="19"/>
        <v>0.88827357562561615</v>
      </c>
      <c r="D85" s="289">
        <f>SUM(D79:D84)</f>
        <v>2538351</v>
      </c>
      <c r="E85" s="294">
        <f>SUM(E79:E84)</f>
        <v>5080594.2892780984</v>
      </c>
      <c r="F85" s="294">
        <f t="shared" ref="F85:I85" si="21">SUM(F79:F84)</f>
        <v>9677982.4418236725</v>
      </c>
      <c r="G85" s="294">
        <f t="shared" si="21"/>
        <v>9977294.867321834</v>
      </c>
      <c r="H85" s="294">
        <f t="shared" si="21"/>
        <v>11190407.526410133</v>
      </c>
      <c r="I85" s="294">
        <f t="shared" si="21"/>
        <v>10765521.048918024</v>
      </c>
    </row>
    <row r="86" spans="2:9" ht="15.5" x14ac:dyDescent="0.3">
      <c r="B86" s="75" t="s">
        <v>55</v>
      </c>
      <c r="C86" s="272"/>
      <c r="D86" s="53"/>
      <c r="E86" s="53"/>
      <c r="F86" s="53"/>
      <c r="G86" s="53"/>
      <c r="H86" s="53"/>
      <c r="I86" s="53"/>
    </row>
    <row r="87" spans="2:9" ht="15.5" x14ac:dyDescent="0.3">
      <c r="B87" s="68" t="s">
        <v>276</v>
      </c>
      <c r="C87" s="267">
        <f>D87/$D$44</f>
        <v>0.60617478232782984</v>
      </c>
      <c r="D87" s="232">
        <v>1732219</v>
      </c>
      <c r="E87" s="251">
        <f>(E35*D87)+D87</f>
        <v>1758202.2849999999</v>
      </c>
      <c r="F87" s="251">
        <f t="shared" ref="F87:I87" si="22">(F35*E87)+E87</f>
        <v>1784575.3192749999</v>
      </c>
      <c r="G87" s="251">
        <f t="shared" si="22"/>
        <v>1811343.9490641248</v>
      </c>
      <c r="H87" s="251">
        <f t="shared" si="22"/>
        <v>1838514.1083000868</v>
      </c>
      <c r="I87" s="251">
        <f t="shared" si="22"/>
        <v>1866091.8199245881</v>
      </c>
    </row>
    <row r="88" spans="2:9" ht="15.5" x14ac:dyDescent="0.3">
      <c r="B88" s="68" t="s">
        <v>277</v>
      </c>
      <c r="C88" s="267">
        <f t="shared" ref="C88:C91" si="23">D88/$D$44</f>
        <v>1.5856535309241283E-2</v>
      </c>
      <c r="D88" s="232">
        <v>45312</v>
      </c>
      <c r="E88" s="251">
        <f>$C$88*E44</f>
        <v>45490.941555297824</v>
      </c>
      <c r="F88" s="251">
        <f>$C$88*F44</f>
        <v>44193.298480801976</v>
      </c>
      <c r="G88" s="251">
        <f>$C$88*G44</f>
        <v>44997.082244964287</v>
      </c>
      <c r="H88" s="251">
        <f>$C$88*H44</f>
        <v>59596.089048139773</v>
      </c>
      <c r="I88" s="251">
        <f>$C$88*I44</f>
        <v>49090.642293544632</v>
      </c>
    </row>
    <row r="89" spans="2:9" ht="15.5" x14ac:dyDescent="0.3">
      <c r="B89" s="68" t="s">
        <v>278</v>
      </c>
      <c r="C89" s="267">
        <f t="shared" si="23"/>
        <v>2.2184871832288584E-2</v>
      </c>
      <c r="D89" s="232">
        <v>63396</v>
      </c>
      <c r="E89" s="251">
        <f>D89*(1+E32)</f>
        <v>65931.839999999997</v>
      </c>
      <c r="F89" s="251">
        <f t="shared" ref="F89:I89" si="24">E89*(1+F32)</f>
        <v>68404.284</v>
      </c>
      <c r="G89" s="251">
        <f t="shared" si="24"/>
        <v>70798.433939999988</v>
      </c>
      <c r="H89" s="251">
        <f t="shared" si="24"/>
        <v>73099.38304304998</v>
      </c>
      <c r="I89" s="251">
        <f t="shared" si="24"/>
        <v>75292.364534341483</v>
      </c>
    </row>
    <row r="90" spans="2:9" ht="15.5" x14ac:dyDescent="0.3">
      <c r="B90" s="78" t="s">
        <v>327</v>
      </c>
      <c r="C90" s="240"/>
      <c r="D90" s="234">
        <f>SUM(D87:D89)</f>
        <v>1840927</v>
      </c>
      <c r="E90" s="253">
        <f>SUM(E87:E89)</f>
        <v>1869625.0665552979</v>
      </c>
      <c r="F90" s="253">
        <f t="shared" ref="F90:I90" si="25">SUM(F87:F89)</f>
        <v>1897172.9017558019</v>
      </c>
      <c r="G90" s="253">
        <f t="shared" si="25"/>
        <v>1927139.4652490891</v>
      </c>
      <c r="H90" s="253">
        <f t="shared" si="25"/>
        <v>1971209.5803912766</v>
      </c>
      <c r="I90" s="253">
        <f t="shared" si="25"/>
        <v>1990474.8267524743</v>
      </c>
    </row>
    <row r="91" spans="2:9" ht="15.5" x14ac:dyDescent="0.3">
      <c r="B91" s="68" t="s">
        <v>112</v>
      </c>
      <c r="C91" s="267">
        <f t="shared" si="23"/>
        <v>1.5324897650949758</v>
      </c>
      <c r="D91" s="232">
        <f>D85+D90</f>
        <v>4379278</v>
      </c>
      <c r="E91" s="292">
        <f>E85+E90</f>
        <v>6950219.3558333963</v>
      </c>
      <c r="F91" s="292">
        <f t="shared" ref="F91:I91" si="26">F85+F90</f>
        <v>11575155.343579475</v>
      </c>
      <c r="G91" s="292">
        <f t="shared" si="26"/>
        <v>11904434.332570923</v>
      </c>
      <c r="H91" s="292">
        <f t="shared" si="26"/>
        <v>13161617.106801409</v>
      </c>
      <c r="I91" s="292">
        <f t="shared" si="26"/>
        <v>12755995.875670498</v>
      </c>
    </row>
    <row r="92" spans="2:9" ht="15.5" x14ac:dyDescent="0.3">
      <c r="B92" s="75" t="s">
        <v>66</v>
      </c>
      <c r="C92" s="272"/>
      <c r="D92" s="53"/>
      <c r="E92" s="53"/>
      <c r="F92" s="53"/>
      <c r="G92" s="53"/>
      <c r="H92" s="53"/>
      <c r="I92" s="53"/>
    </row>
    <row r="93" spans="2:9" ht="15.5" x14ac:dyDescent="0.3">
      <c r="B93" s="68" t="s">
        <v>279</v>
      </c>
      <c r="C93" s="267">
        <f>D93/$D$44</f>
        <v>1.5887330134170953E-4</v>
      </c>
      <c r="D93" s="232">
        <v>454</v>
      </c>
      <c r="E93" s="251">
        <f>D93+E33</f>
        <v>448.51</v>
      </c>
      <c r="F93" s="251">
        <f>E93+F33</f>
        <v>443.02</v>
      </c>
      <c r="G93" s="251">
        <f t="shared" ref="G93:I93" si="27">F93+G33</f>
        <v>437.53</v>
      </c>
      <c r="H93" s="251">
        <f t="shared" si="27"/>
        <v>432.03999999999996</v>
      </c>
      <c r="I93" s="251">
        <f t="shared" si="27"/>
        <v>426.54999999999995</v>
      </c>
    </row>
    <row r="94" spans="2:9" ht="15.5" x14ac:dyDescent="0.3">
      <c r="B94" s="68" t="s">
        <v>280</v>
      </c>
      <c r="C94" s="267">
        <f t="shared" ref="C94:C98" si="28">D94/$D$44</f>
        <v>-4.2097225561244435E-2</v>
      </c>
      <c r="D94" s="232">
        <v>-120298</v>
      </c>
      <c r="E94" s="251">
        <f>D94+(E34)</f>
        <v>-125074.68</v>
      </c>
      <c r="F94" s="251">
        <f t="shared" ref="F94:I94" si="29">E94+(F34)</f>
        <v>-129851.35999999999</v>
      </c>
      <c r="G94" s="251">
        <f t="shared" si="29"/>
        <v>-134628.03999999998</v>
      </c>
      <c r="H94" s="251">
        <f t="shared" si="29"/>
        <v>-139404.71999999997</v>
      </c>
      <c r="I94" s="251">
        <f t="shared" si="29"/>
        <v>-144181.39999999997</v>
      </c>
    </row>
    <row r="95" spans="2:9" ht="15.5" x14ac:dyDescent="0.3">
      <c r="B95" s="68" t="s">
        <v>281</v>
      </c>
      <c r="C95" s="267">
        <f t="shared" si="28"/>
        <v>0.41122359387504931</v>
      </c>
      <c r="D95" s="232">
        <v>1175122</v>
      </c>
      <c r="E95" s="251">
        <f>D95+E36</f>
        <v>1188108.8500000001</v>
      </c>
      <c r="F95" s="251">
        <f t="shared" ref="F95:I95" si="30">E95+F36</f>
        <v>1201095.7000000002</v>
      </c>
      <c r="G95" s="251">
        <f t="shared" si="30"/>
        <v>1214082.5500000003</v>
      </c>
      <c r="H95" s="251">
        <f t="shared" si="30"/>
        <v>1227069.4000000004</v>
      </c>
      <c r="I95" s="251">
        <f t="shared" si="30"/>
        <v>1240056.2500000005</v>
      </c>
    </row>
    <row r="96" spans="2:9" ht="15.5" x14ac:dyDescent="0.3">
      <c r="B96" s="68" t="s">
        <v>282</v>
      </c>
      <c r="C96" s="267">
        <f t="shared" si="28"/>
        <v>0.55211481710498556</v>
      </c>
      <c r="D96" s="232">
        <v>1577736</v>
      </c>
      <c r="E96" s="251">
        <f>(E37*D96)+D96</f>
        <v>1656622.8</v>
      </c>
      <c r="F96" s="251">
        <f t="shared" ref="F96:I96" si="31">(F37*E96)+E96</f>
        <v>1739453.94</v>
      </c>
      <c r="G96" s="251">
        <f t="shared" si="31"/>
        <v>1826426.6369999999</v>
      </c>
      <c r="H96" s="251">
        <f t="shared" si="31"/>
        <v>1917747.9688499998</v>
      </c>
      <c r="I96" s="251">
        <f t="shared" si="31"/>
        <v>2013635.3672924999</v>
      </c>
    </row>
    <row r="97" spans="1:10" ht="15.5" x14ac:dyDescent="0.3">
      <c r="B97" s="78" t="s">
        <v>225</v>
      </c>
      <c r="C97" s="240">
        <f t="shared" si="28"/>
        <v>0.92140005872013209</v>
      </c>
      <c r="D97" s="234">
        <f>SUM(D93:D96)</f>
        <v>2633014</v>
      </c>
      <c r="E97" s="323">
        <f>SUM(E93:E96)</f>
        <v>2720105.4800000004</v>
      </c>
      <c r="F97" s="323">
        <f t="shared" ref="F97:I97" si="32">SUM(F93:F96)</f>
        <v>2811141.3</v>
      </c>
      <c r="G97" s="323">
        <f t="shared" si="32"/>
        <v>2906318.6770000001</v>
      </c>
      <c r="H97" s="323">
        <f t="shared" si="32"/>
        <v>3005844.6888500005</v>
      </c>
      <c r="I97" s="323">
        <f t="shared" si="32"/>
        <v>3109936.7672925005</v>
      </c>
    </row>
    <row r="98" spans="1:10" ht="17.5" x14ac:dyDescent="0.3">
      <c r="B98" s="130" t="s">
        <v>242</v>
      </c>
      <c r="C98" s="301">
        <f t="shared" si="28"/>
        <v>2.4538898238151079</v>
      </c>
      <c r="D98" s="302">
        <f>D91+D97</f>
        <v>7012292</v>
      </c>
      <c r="E98" s="303">
        <f>E77</f>
        <v>7800699.7692780988</v>
      </c>
      <c r="F98" s="303">
        <f>F77</f>
        <v>12489123.741823671</v>
      </c>
      <c r="G98" s="303">
        <f t="shared" ref="F98:I98" si="33">G97+G91</f>
        <v>14810753.009570923</v>
      </c>
      <c r="H98" s="303">
        <f>H77</f>
        <v>16167461.795651408</v>
      </c>
      <c r="I98" s="303">
        <f t="shared" si="33"/>
        <v>15865932.642963</v>
      </c>
    </row>
    <row r="99" spans="1:10" ht="15" x14ac:dyDescent="0.3">
      <c r="B99" s="110"/>
      <c r="C99" s="257"/>
      <c r="D99" s="258"/>
      <c r="E99" s="259"/>
      <c r="F99" s="259"/>
      <c r="G99" s="259"/>
      <c r="H99" s="259"/>
      <c r="I99" s="259"/>
    </row>
    <row r="100" spans="1:10" ht="15.5" x14ac:dyDescent="0.3">
      <c r="B100" s="77"/>
      <c r="C100" s="79"/>
      <c r="D100" s="80"/>
      <c r="E100" s="71"/>
      <c r="F100" s="72"/>
      <c r="G100" s="72"/>
      <c r="H100" s="72"/>
      <c r="I100" s="65"/>
    </row>
    <row r="101" spans="1:10" ht="15.5" x14ac:dyDescent="0.3">
      <c r="B101" s="77"/>
      <c r="C101" s="79"/>
      <c r="D101" s="80"/>
      <c r="E101" s="71"/>
      <c r="F101" s="72"/>
      <c r="G101" s="72"/>
      <c r="H101" s="72"/>
      <c r="I101" s="65"/>
    </row>
    <row r="102" spans="1:10" ht="17.5" x14ac:dyDescent="0.3">
      <c r="A102" s="1"/>
      <c r="B102" s="101" t="s">
        <v>74</v>
      </c>
      <c r="C102" s="81"/>
      <c r="D102" s="103"/>
      <c r="E102" s="102" t="s">
        <v>217</v>
      </c>
      <c r="F102" s="102" t="s">
        <v>218</v>
      </c>
      <c r="G102" s="102" t="s">
        <v>219</v>
      </c>
      <c r="H102" s="102" t="s">
        <v>230</v>
      </c>
      <c r="I102" s="102" t="s">
        <v>236</v>
      </c>
      <c r="J102" s="1"/>
    </row>
    <row r="103" spans="1:10" ht="15.5" x14ac:dyDescent="0.3">
      <c r="A103" s="1"/>
      <c r="B103" s="82" t="s">
        <v>56</v>
      </c>
      <c r="C103" s="53"/>
      <c r="D103" s="53"/>
      <c r="E103" s="53"/>
      <c r="F103" s="53"/>
      <c r="G103" s="53"/>
      <c r="H103" s="53"/>
      <c r="I103" s="53"/>
      <c r="J103" s="65"/>
    </row>
    <row r="104" spans="1:10" ht="15.5" x14ac:dyDescent="0.3">
      <c r="A104" s="1"/>
      <c r="B104" s="83" t="s">
        <v>51</v>
      </c>
      <c r="C104" s="53"/>
      <c r="D104" s="53"/>
      <c r="E104" s="251">
        <f>E55</f>
        <v>199005.40669413304</v>
      </c>
      <c r="F104" s="251">
        <f>F55</f>
        <v>61856.775688827001</v>
      </c>
      <c r="G104" s="251">
        <f>G55</f>
        <v>100256.19550939575</v>
      </c>
      <c r="H104" s="251">
        <f>H55</f>
        <v>977928.99754540168</v>
      </c>
      <c r="I104" s="251">
        <f>I55</f>
        <v>265792.62272815546</v>
      </c>
      <c r="J104" s="65"/>
    </row>
    <row r="105" spans="1:10" ht="15.5" x14ac:dyDescent="0.3">
      <c r="A105" s="1"/>
      <c r="B105" s="83" t="s">
        <v>283</v>
      </c>
      <c r="C105" s="84"/>
      <c r="D105" s="53"/>
      <c r="E105" s="251">
        <f>-D69</f>
        <v>0</v>
      </c>
      <c r="F105" s="251">
        <f>-E69</f>
        <v>2324899.5</v>
      </c>
      <c r="G105" s="251">
        <f>-F69</f>
        <v>0</v>
      </c>
      <c r="H105" s="251">
        <f>-G69</f>
        <v>0</v>
      </c>
      <c r="I105" s="251">
        <f>-H69</f>
        <v>0</v>
      </c>
      <c r="J105" s="65"/>
    </row>
    <row r="106" spans="1:10" ht="15.5" x14ac:dyDescent="0.3">
      <c r="A106" s="1"/>
      <c r="B106" s="83" t="s">
        <v>277</v>
      </c>
      <c r="C106" s="84"/>
      <c r="D106" s="53"/>
      <c r="E106" s="251">
        <f>E88</f>
        <v>45490.941555297824</v>
      </c>
      <c r="F106" s="251">
        <f t="shared" ref="F106:I106" si="34">F88</f>
        <v>44193.298480801976</v>
      </c>
      <c r="G106" s="251">
        <f t="shared" si="34"/>
        <v>44997.082244964287</v>
      </c>
      <c r="H106" s="251">
        <f t="shared" si="34"/>
        <v>59596.089048139773</v>
      </c>
      <c r="I106" s="251">
        <f t="shared" si="34"/>
        <v>49090.642293544632</v>
      </c>
      <c r="J106" s="65"/>
    </row>
    <row r="107" spans="1:10" ht="15.5" x14ac:dyDescent="0.3">
      <c r="A107" s="1"/>
      <c r="B107" s="83" t="s">
        <v>284</v>
      </c>
      <c r="C107" s="53"/>
      <c r="D107" s="53"/>
      <c r="E107" s="251">
        <f>E63-D63</f>
        <v>937.32644846945186</v>
      </c>
      <c r="F107" s="251">
        <f t="shared" ref="F107:I107" si="35">F63-E63</f>
        <v>-6797.2761965426034</v>
      </c>
      <c r="G107" s="251">
        <f t="shared" si="35"/>
        <v>4210.3567265063175</v>
      </c>
      <c r="H107" s="251">
        <f t="shared" si="35"/>
        <v>76472.092663031974</v>
      </c>
      <c r="I107" s="251">
        <f t="shared" si="35"/>
        <v>-55029.325522966625</v>
      </c>
      <c r="J107" s="65"/>
    </row>
    <row r="108" spans="1:10" ht="15.5" x14ac:dyDescent="0.3">
      <c r="A108" s="1"/>
      <c r="B108" s="83" t="s">
        <v>285</v>
      </c>
      <c r="C108" s="53"/>
      <c r="D108" s="53"/>
      <c r="E108" s="251">
        <f>E62-D62</f>
        <v>219491.12000000011</v>
      </c>
      <c r="F108" s="251">
        <f t="shared" ref="F108:I108" si="36">F62-E62</f>
        <v>296313.0120000001</v>
      </c>
      <c r="G108" s="251">
        <f t="shared" si="36"/>
        <v>391133.17584000016</v>
      </c>
      <c r="H108" s="251">
        <f t="shared" si="36"/>
        <v>492827.80155840004</v>
      </c>
      <c r="I108" s="251">
        <f t="shared" si="36"/>
        <v>331472.32875187229</v>
      </c>
      <c r="J108" s="65"/>
    </row>
    <row r="109" spans="1:10" ht="15.5" x14ac:dyDescent="0.3">
      <c r="A109" s="1"/>
      <c r="B109" s="83" t="s">
        <v>286</v>
      </c>
      <c r="C109" s="53"/>
      <c r="D109" s="53"/>
      <c r="E109" s="251">
        <f>E64-D64</f>
        <v>0</v>
      </c>
      <c r="F109" s="251">
        <f t="shared" ref="F109:I109" si="37">F64-E64</f>
        <v>0</v>
      </c>
      <c r="G109" s="251">
        <f t="shared" si="37"/>
        <v>2045864.3324128529</v>
      </c>
      <c r="H109" s="251">
        <f t="shared" si="37"/>
        <v>0</v>
      </c>
      <c r="I109" s="251">
        <f t="shared" si="37"/>
        <v>4325889.0502950093</v>
      </c>
      <c r="J109" s="65"/>
    </row>
    <row r="110" spans="1:10" ht="15.5" x14ac:dyDescent="0.3">
      <c r="A110" s="1"/>
      <c r="B110" s="83" t="s">
        <v>287</v>
      </c>
      <c r="C110" s="53"/>
      <c r="D110" s="53"/>
      <c r="E110" s="251">
        <f>E65-D65</f>
        <v>3632.9892520194408</v>
      </c>
      <c r="F110" s="251">
        <f t="shared" ref="F110:I110" si="38">F65-E65</f>
        <v>-30097.989252019441</v>
      </c>
      <c r="G110" s="251">
        <f t="shared" si="38"/>
        <v>17376.224384280227</v>
      </c>
      <c r="H110" s="251">
        <f t="shared" si="38"/>
        <v>80138.424608607602</v>
      </c>
      <c r="I110" s="251">
        <f t="shared" si="38"/>
        <v>-56487.871994531342</v>
      </c>
      <c r="J110" s="65"/>
    </row>
    <row r="111" spans="1:10" ht="15.5" x14ac:dyDescent="0.3">
      <c r="A111" s="1"/>
      <c r="B111" s="83" t="s">
        <v>288</v>
      </c>
      <c r="C111" s="53"/>
      <c r="D111" s="53"/>
      <c r="E111" s="251">
        <f>E79-D79</f>
        <v>41044.132400000119</v>
      </c>
      <c r="F111" s="251">
        <f t="shared" ref="F111:I111" si="39">F79-E79</f>
        <v>80004.51324</v>
      </c>
      <c r="G111" s="251">
        <f t="shared" si="39"/>
        <v>105605.95747680007</v>
      </c>
      <c r="H111" s="251">
        <f t="shared" si="39"/>
        <v>133063.50642076798</v>
      </c>
      <c r="I111" s="251">
        <f t="shared" si="39"/>
        <v>89497.52876300551</v>
      </c>
      <c r="J111" s="65"/>
    </row>
    <row r="112" spans="1:10" ht="15.5" x14ac:dyDescent="0.3">
      <c r="A112" s="1"/>
      <c r="B112" s="83" t="s">
        <v>289</v>
      </c>
      <c r="C112" s="53"/>
      <c r="D112" s="53"/>
      <c r="E112" s="251">
        <f>E80-D80</f>
        <v>-65044.678965919535</v>
      </c>
      <c r="F112" s="251">
        <f t="shared" ref="F112:I112" si="40">F80-E80</f>
        <v>10104.52898070775</v>
      </c>
      <c r="G112" s="251">
        <f t="shared" si="40"/>
        <v>2245.4508846013923</v>
      </c>
      <c r="H112" s="251">
        <f t="shared" si="40"/>
        <v>7859.0780961058917</v>
      </c>
      <c r="I112" s="251">
        <f t="shared" si="40"/>
        <v>9061.998212856648</v>
      </c>
      <c r="J112" s="65"/>
    </row>
    <row r="113" spans="1:13" ht="15.5" x14ac:dyDescent="0.3">
      <c r="A113" s="1"/>
      <c r="B113" s="83" t="s">
        <v>291</v>
      </c>
      <c r="C113" s="53"/>
      <c r="D113" s="53"/>
      <c r="E113" s="251">
        <f>E89-D89</f>
        <v>2535.8399999999965</v>
      </c>
      <c r="F113" s="251">
        <f t="shared" ref="F113:I113" si="41">F89-E89</f>
        <v>2472.4440000000031</v>
      </c>
      <c r="G113" s="251">
        <f t="shared" si="41"/>
        <v>2394.1499399999884</v>
      </c>
      <c r="H113" s="251">
        <f t="shared" si="41"/>
        <v>2300.9491030499921</v>
      </c>
      <c r="I113" s="251">
        <f t="shared" si="41"/>
        <v>2192.9814912915026</v>
      </c>
      <c r="J113" s="65"/>
    </row>
    <row r="114" spans="1:13" ht="15.5" x14ac:dyDescent="0.3">
      <c r="A114" s="1"/>
      <c r="B114" s="83" t="s">
        <v>57</v>
      </c>
      <c r="C114" s="53"/>
      <c r="D114" s="53"/>
      <c r="E114" s="251">
        <f>E88-D88</f>
        <v>178.94155529782438</v>
      </c>
      <c r="F114" s="251">
        <f t="shared" ref="F114:I114" si="42">F88-E88</f>
        <v>-1297.6430744958489</v>
      </c>
      <c r="G114" s="251">
        <f t="shared" si="42"/>
        <v>803.78376416231185</v>
      </c>
      <c r="H114" s="251">
        <f t="shared" si="42"/>
        <v>14599.006803175485</v>
      </c>
      <c r="I114" s="251">
        <f t="shared" si="42"/>
        <v>-10505.446754595141</v>
      </c>
      <c r="J114" s="65"/>
    </row>
    <row r="115" spans="1:13" ht="17" x14ac:dyDescent="0.3">
      <c r="A115" s="1"/>
      <c r="B115" s="85" t="s">
        <v>290</v>
      </c>
      <c r="C115" s="73"/>
      <c r="D115" s="73"/>
      <c r="E115" s="250">
        <f>E82-D82</f>
        <v>3091140.0223683598</v>
      </c>
      <c r="F115" s="250">
        <f t="shared" ref="F115:I115" si="43">F82-E82</f>
        <v>4429484.7007667851</v>
      </c>
      <c r="G115" s="250">
        <f t="shared" si="43"/>
        <v>0</v>
      </c>
      <c r="H115" s="250">
        <f t="shared" si="43"/>
        <v>807220.3583705714</v>
      </c>
      <c r="I115" s="250">
        <f t="shared" si="43"/>
        <v>0</v>
      </c>
      <c r="J115" s="65"/>
    </row>
    <row r="116" spans="1:13" ht="15.5" x14ac:dyDescent="0.3">
      <c r="A116" s="1"/>
      <c r="B116" s="86" t="s">
        <v>58</v>
      </c>
      <c r="C116" s="72"/>
      <c r="D116" s="72"/>
      <c r="E116" s="254">
        <f>SUM(E104:E115)</f>
        <v>3538412.041307658</v>
      </c>
      <c r="F116" s="254">
        <f t="shared" ref="F116:H116" si="44">SUM(F104:F115)</f>
        <v>7211135.864634064</v>
      </c>
      <c r="G116" s="254">
        <f t="shared" si="44"/>
        <v>2714886.709183563</v>
      </c>
      <c r="H116" s="254">
        <f t="shared" si="44"/>
        <v>2652006.3042172519</v>
      </c>
      <c r="I116" s="254">
        <f>SUM(I104:I115)</f>
        <v>4950974.508263642</v>
      </c>
      <c r="J116" s="65"/>
    </row>
    <row r="117" spans="1:13" ht="15.5" x14ac:dyDescent="0.3">
      <c r="A117" s="1"/>
      <c r="B117" s="82" t="s">
        <v>59</v>
      </c>
      <c r="C117" s="53"/>
      <c r="D117" s="53"/>
      <c r="E117" s="53"/>
      <c r="F117" s="53"/>
      <c r="G117" s="53"/>
      <c r="H117" s="53"/>
      <c r="I117" s="53"/>
      <c r="J117" s="65"/>
    </row>
    <row r="118" spans="1:13" ht="15.5" x14ac:dyDescent="0.3">
      <c r="A118" s="1"/>
      <c r="B118" s="83" t="s">
        <v>292</v>
      </c>
      <c r="C118" s="53"/>
      <c r="D118" s="53"/>
      <c r="E118" s="251">
        <f>E70-D70</f>
        <v>1676097.1207761094</v>
      </c>
      <c r="F118" s="251">
        <f t="shared" ref="F118:I118" si="45">F70-E70</f>
        <v>61215.134546935558</v>
      </c>
      <c r="G118" s="251">
        <f t="shared" si="45"/>
        <v>13603.363232653588</v>
      </c>
      <c r="H118" s="251">
        <f t="shared" si="45"/>
        <v>47611.77131428197</v>
      </c>
      <c r="I118" s="251">
        <f t="shared" si="45"/>
        <v>54899.287331774831</v>
      </c>
      <c r="J118" s="65"/>
      <c r="M118" s="285"/>
    </row>
    <row r="119" spans="1:13" ht="15.5" x14ac:dyDescent="0.3">
      <c r="A119" s="1"/>
      <c r="B119" s="83" t="s">
        <v>294</v>
      </c>
      <c r="C119" s="53"/>
      <c r="D119" s="53"/>
      <c r="E119" s="251">
        <f>E73-D73</f>
        <v>24.046061312862548</v>
      </c>
      <c r="F119" s="251">
        <f t="shared" ref="F119:I119" si="46">F73-E73</f>
        <v>-174.37651572663435</v>
      </c>
      <c r="G119" s="251">
        <f t="shared" si="46"/>
        <v>108.01199108369383</v>
      </c>
      <c r="H119" s="251">
        <f t="shared" si="46"/>
        <v>1961.8059768832863</v>
      </c>
      <c r="I119" s="251">
        <f t="shared" si="46"/>
        <v>-1411.7157770288168</v>
      </c>
      <c r="J119" s="65"/>
    </row>
    <row r="120" spans="1:13" ht="15.5" x14ac:dyDescent="0.3">
      <c r="A120" s="1"/>
      <c r="B120" s="83" t="s">
        <v>295</v>
      </c>
      <c r="C120" s="53"/>
      <c r="D120" s="53"/>
      <c r="E120" s="251">
        <f>E71-D71</f>
        <v>6756.1336637034547</v>
      </c>
      <c r="F120" s="251">
        <f t="shared" ref="F120:I120" si="47">F71-E71</f>
        <v>-48993.930138148833</v>
      </c>
      <c r="G120" s="251">
        <f t="shared" si="47"/>
        <v>30347.733025775524</v>
      </c>
      <c r="H120" s="251">
        <f t="shared" si="47"/>
        <v>551201.43085495709</v>
      </c>
      <c r="I120" s="251">
        <f t="shared" si="47"/>
        <v>-396644.60473049874</v>
      </c>
      <c r="J120" s="65"/>
    </row>
    <row r="121" spans="1:13" ht="17" x14ac:dyDescent="0.3">
      <c r="A121" s="1"/>
      <c r="B121" s="85" t="s">
        <v>293</v>
      </c>
      <c r="C121" s="73"/>
      <c r="D121" s="73"/>
      <c r="E121" s="250">
        <f>E75-D75</f>
        <v>445.59259027353255</v>
      </c>
      <c r="F121" s="250">
        <f t="shared" ref="F121:I121" si="48">F75-E75</f>
        <v>-3231.3351577433059</v>
      </c>
      <c r="G121" s="250">
        <f t="shared" si="48"/>
        <v>2001.5478735321958</v>
      </c>
      <c r="H121" s="250">
        <f t="shared" si="48"/>
        <v>36353.82092226125</v>
      </c>
      <c r="I121" s="250">
        <f t="shared" si="48"/>
        <v>-26160.213168873306</v>
      </c>
      <c r="J121" s="65"/>
    </row>
    <row r="122" spans="1:13" ht="15.5" x14ac:dyDescent="0.3">
      <c r="A122" s="1"/>
      <c r="B122" s="86" t="s">
        <v>60</v>
      </c>
      <c r="C122" s="72"/>
      <c r="D122" s="72"/>
      <c r="E122" s="254">
        <f>SUM(E118:E121)</f>
        <v>1683322.8930913992</v>
      </c>
      <c r="F122" s="254">
        <f t="shared" ref="F122:I122" si="49">SUM(F118:F121)</f>
        <v>8815.4927353167877</v>
      </c>
      <c r="G122" s="254">
        <f t="shared" si="49"/>
        <v>46060.656123045002</v>
      </c>
      <c r="H122" s="254">
        <f t="shared" si="49"/>
        <v>637128.82906838355</v>
      </c>
      <c r="I122" s="254">
        <f t="shared" si="49"/>
        <v>-369317.24634462607</v>
      </c>
      <c r="J122" s="65"/>
    </row>
    <row r="123" spans="1:13" ht="15.5" x14ac:dyDescent="0.3">
      <c r="A123" s="1"/>
      <c r="B123" s="82" t="s">
        <v>61</v>
      </c>
      <c r="C123" s="53"/>
      <c r="D123" s="53"/>
      <c r="E123" s="53"/>
      <c r="F123" s="53"/>
      <c r="G123" s="53"/>
      <c r="H123" s="53"/>
      <c r="I123" s="53"/>
      <c r="J123" s="65"/>
    </row>
    <row r="124" spans="1:13" ht="15.5" x14ac:dyDescent="0.3">
      <c r="A124" s="1"/>
      <c r="B124" s="88" t="s">
        <v>296</v>
      </c>
      <c r="C124" s="52"/>
      <c r="D124" s="53"/>
      <c r="E124" s="251">
        <f>E89-D89</f>
        <v>2535.8399999999965</v>
      </c>
      <c r="F124" s="251">
        <f t="shared" ref="F124:I124" si="50">F89-E89</f>
        <v>2472.4440000000031</v>
      </c>
      <c r="G124" s="251">
        <f t="shared" si="50"/>
        <v>2394.1499399999884</v>
      </c>
      <c r="H124" s="251">
        <f t="shared" si="50"/>
        <v>2300.9491030499921</v>
      </c>
      <c r="I124" s="251">
        <f t="shared" si="50"/>
        <v>2192.9814912915026</v>
      </c>
      <c r="J124" s="65"/>
    </row>
    <row r="125" spans="1:13" ht="15.5" x14ac:dyDescent="0.3">
      <c r="A125" s="1"/>
      <c r="B125" s="88" t="s">
        <v>297</v>
      </c>
      <c r="C125" s="52"/>
      <c r="D125" s="53"/>
      <c r="E125" s="251">
        <f>E96-D96</f>
        <v>78886.800000000047</v>
      </c>
      <c r="F125" s="251">
        <f t="shared" ref="F125:I125" si="51">F96-E96</f>
        <v>82831.139999999898</v>
      </c>
      <c r="G125" s="251">
        <f t="shared" si="51"/>
        <v>86972.696999999927</v>
      </c>
      <c r="H125" s="251">
        <f t="shared" si="51"/>
        <v>91321.331849999959</v>
      </c>
      <c r="I125" s="251">
        <f t="shared" si="51"/>
        <v>95887.398442500038</v>
      </c>
      <c r="J125" s="65"/>
    </row>
    <row r="126" spans="1:13" ht="15.5" x14ac:dyDescent="0.3">
      <c r="A126" s="1"/>
      <c r="B126" s="89" t="s">
        <v>62</v>
      </c>
      <c r="C126" s="71"/>
      <c r="D126" s="72"/>
      <c r="E126" s="254">
        <f>SUM(E124:E125)</f>
        <v>81422.640000000043</v>
      </c>
      <c r="F126" s="254">
        <f>SUM(F124:F125)</f>
        <v>85303.583999999901</v>
      </c>
      <c r="G126" s="254">
        <f>SUM(G124:G125)</f>
        <v>89366.846939999916</v>
      </c>
      <c r="H126" s="254">
        <f>SUM(H124:H125)</f>
        <v>93622.280953049951</v>
      </c>
      <c r="I126" s="254">
        <f>SUM(I124:I125)</f>
        <v>98080.379933791541</v>
      </c>
      <c r="J126" s="65"/>
    </row>
    <row r="127" spans="1:13" ht="15.5" x14ac:dyDescent="0.3">
      <c r="A127" s="1"/>
      <c r="B127" s="86"/>
      <c r="C127" s="53"/>
      <c r="D127" s="53"/>
      <c r="E127" s="53"/>
      <c r="F127" s="53"/>
      <c r="G127" s="53"/>
      <c r="H127" s="53"/>
      <c r="I127" s="53"/>
      <c r="J127" s="65"/>
    </row>
    <row r="128" spans="1:13" ht="15.5" x14ac:dyDescent="0.3">
      <c r="A128" s="1"/>
      <c r="B128" s="87" t="s">
        <v>63</v>
      </c>
      <c r="C128" s="52"/>
      <c r="D128" s="53"/>
      <c r="E128" s="251">
        <f>E126+E122+E116</f>
        <v>5303157.5743990578</v>
      </c>
      <c r="F128" s="251">
        <f>F126+F122+F116</f>
        <v>7305254.9413693808</v>
      </c>
      <c r="G128" s="251">
        <f>G126+G122+G116</f>
        <v>2850314.212246608</v>
      </c>
      <c r="H128" s="251">
        <f>H126+H122+H116</f>
        <v>3382757.4142386857</v>
      </c>
      <c r="I128" s="251">
        <f>I126+I122+I116</f>
        <v>4679737.6418528073</v>
      </c>
      <c r="J128" s="65"/>
    </row>
    <row r="129" spans="1:10" ht="17" x14ac:dyDescent="0.3">
      <c r="A129" s="1"/>
      <c r="B129" s="90" t="s">
        <v>64</v>
      </c>
      <c r="C129" s="91"/>
      <c r="D129" s="74"/>
      <c r="E129" s="252">
        <f>D61</f>
        <v>204921</v>
      </c>
      <c r="F129" s="252">
        <f>E21</f>
        <v>692934.26540000003</v>
      </c>
      <c r="G129" s="252">
        <f t="shared" ref="G129:I129" si="52">F21</f>
        <v>403619.6262</v>
      </c>
      <c r="H129" s="252">
        <f t="shared" si="52"/>
        <v>206066.23050000001</v>
      </c>
      <c r="I129" s="252">
        <f t="shared" si="52"/>
        <v>211621.9167</v>
      </c>
      <c r="J129" s="65"/>
    </row>
    <row r="130" spans="1:10" ht="15.5" x14ac:dyDescent="0.3">
      <c r="A130" s="1"/>
      <c r="B130" s="89" t="s">
        <v>65</v>
      </c>
      <c r="C130" s="52"/>
      <c r="D130" s="53"/>
      <c r="E130" s="254">
        <f>E128+E129</f>
        <v>5508078.5743990578</v>
      </c>
      <c r="F130" s="254">
        <f>F128+F129</f>
        <v>7998189.2067693807</v>
      </c>
      <c r="G130" s="254">
        <f t="shared" ref="G130:I130" si="53">G128+G129</f>
        <v>3253933.8384466078</v>
      </c>
      <c r="H130" s="254">
        <f t="shared" si="53"/>
        <v>3588823.6447386858</v>
      </c>
      <c r="I130" s="254">
        <f t="shared" si="53"/>
        <v>4891359.5585528072</v>
      </c>
      <c r="J130" s="65"/>
    </row>
    <row r="131" spans="1:10" ht="15.5" x14ac:dyDescent="0.3">
      <c r="A131" s="1"/>
      <c r="B131" s="52"/>
      <c r="C131" s="52"/>
      <c r="D131" s="52"/>
      <c r="E131" s="52"/>
      <c r="F131" s="52"/>
      <c r="G131" s="52"/>
      <c r="H131" s="52"/>
      <c r="I131" s="65"/>
      <c r="J131" s="1"/>
    </row>
    <row r="132" spans="1:10" ht="15.5" x14ac:dyDescent="0.3">
      <c r="A132" s="1"/>
      <c r="B132" s="57"/>
      <c r="C132" s="57"/>
      <c r="D132" s="57"/>
      <c r="E132" s="57"/>
      <c r="F132" s="57"/>
      <c r="G132" s="57"/>
      <c r="H132" s="57"/>
      <c r="I132" s="243"/>
      <c r="J132" s="1"/>
    </row>
    <row r="133" spans="1:10" ht="17.5" x14ac:dyDescent="0.3">
      <c r="A133" s="1"/>
      <c r="B133" s="188" t="s">
        <v>77</v>
      </c>
      <c r="C133" s="188"/>
      <c r="D133" s="298"/>
      <c r="E133" s="299" t="s">
        <v>115</v>
      </c>
      <c r="F133" s="298"/>
      <c r="G133" s="298"/>
      <c r="H133" s="298"/>
      <c r="I133" s="298"/>
      <c r="J133" s="1"/>
    </row>
    <row r="134" spans="1:10" ht="20.5" x14ac:dyDescent="0.3">
      <c r="A134" s="1"/>
      <c r="B134" s="92"/>
      <c r="C134" s="93"/>
      <c r="D134" s="60"/>
      <c r="E134" s="52"/>
      <c r="F134" s="63"/>
      <c r="G134" s="63"/>
      <c r="H134" s="63"/>
      <c r="I134" s="63"/>
      <c r="J134" s="1"/>
    </row>
    <row r="135" spans="1:10" ht="15.5" x14ac:dyDescent="0.3">
      <c r="A135" s="1"/>
      <c r="B135" s="94" t="s">
        <v>68</v>
      </c>
      <c r="C135" s="52"/>
      <c r="D135" s="102" t="s">
        <v>229</v>
      </c>
      <c r="E135" s="102" t="s">
        <v>217</v>
      </c>
      <c r="F135" s="102" t="s">
        <v>218</v>
      </c>
      <c r="G135" s="102" t="s">
        <v>219</v>
      </c>
      <c r="H135" s="102" t="s">
        <v>230</v>
      </c>
      <c r="I135" s="102" t="s">
        <v>236</v>
      </c>
      <c r="J135" s="1"/>
    </row>
    <row r="136" spans="1:10" ht="15.5" x14ac:dyDescent="0.3">
      <c r="A136" s="1"/>
      <c r="B136" s="95" t="s">
        <v>78</v>
      </c>
      <c r="C136" s="52"/>
      <c r="D136" s="312">
        <f t="shared" ref="D136:I136" si="54">D66/D85</f>
        <v>1.3279373104822776</v>
      </c>
      <c r="E136" s="295">
        <f t="shared" si="54"/>
        <v>0.80361577182354005</v>
      </c>
      <c r="F136" s="295">
        <f t="shared" si="54"/>
        <v>0.41878034319808177</v>
      </c>
      <c r="G136" s="295">
        <f t="shared" si="54"/>
        <v>0.63283481004409792</v>
      </c>
      <c r="H136" s="295">
        <f t="shared" si="54"/>
        <v>0.62276315591709674</v>
      </c>
      <c r="I136" s="295">
        <f t="shared" si="54"/>
        <v>1.113370442648443</v>
      </c>
      <c r="J136" s="243"/>
    </row>
    <row r="137" spans="1:10" ht="15.5" x14ac:dyDescent="0.3">
      <c r="A137" s="1"/>
      <c r="B137" s="95" t="s">
        <v>79</v>
      </c>
      <c r="C137" s="52"/>
      <c r="D137" s="312">
        <f t="shared" ref="D137:I137" si="55">(D61+D63)/D85</f>
        <v>0.1742363447765892</v>
      </c>
      <c r="E137" s="295">
        <f t="shared" si="55"/>
        <v>0.18329028826680568</v>
      </c>
      <c r="F137" s="295">
        <f t="shared" si="55"/>
        <v>6.562438816868213E-2</v>
      </c>
      <c r="G137" s="295">
        <f t="shared" si="55"/>
        <v>4.4277396163296456E-2</v>
      </c>
      <c r="H137" s="295">
        <f t="shared" si="55"/>
        <v>4.6807626541327425E-2</v>
      </c>
      <c r="I137" s="295">
        <f t="shared" si="55"/>
        <v>8.7312293891522189E-2</v>
      </c>
      <c r="J137" s="243"/>
    </row>
    <row r="138" spans="1:10" ht="15.5" x14ac:dyDescent="0.3">
      <c r="A138" s="1"/>
      <c r="B138" s="95" t="s">
        <v>80</v>
      </c>
      <c r="C138" s="52"/>
      <c r="D138" s="312">
        <f t="shared" ref="D138:I138" si="56">D44/D63</f>
        <v>12.039599413529272</v>
      </c>
      <c r="E138" s="295">
        <f t="shared" si="56"/>
        <v>12.039599413529274</v>
      </c>
      <c r="F138" s="295">
        <f t="shared" si="56"/>
        <v>12.039599413529274</v>
      </c>
      <c r="G138" s="295">
        <f t="shared" si="56"/>
        <v>12.039599413529272</v>
      </c>
      <c r="H138" s="295">
        <f t="shared" si="56"/>
        <v>12.039599413529274</v>
      </c>
      <c r="I138" s="295">
        <f t="shared" si="56"/>
        <v>12.039599413529274</v>
      </c>
      <c r="J138" s="243"/>
    </row>
    <row r="139" spans="1:10" ht="15.5" x14ac:dyDescent="0.3">
      <c r="A139" s="1"/>
      <c r="B139" s="95" t="s">
        <v>81</v>
      </c>
      <c r="C139" s="52"/>
      <c r="D139" s="312">
        <f>91/D138</f>
        <v>7.5583910123903681</v>
      </c>
      <c r="E139" s="295">
        <f t="shared" ref="E139:I139" si="57">91/E138</f>
        <v>7.5583910123903673</v>
      </c>
      <c r="F139" s="295">
        <f t="shared" si="57"/>
        <v>7.5583910123903673</v>
      </c>
      <c r="G139" s="295">
        <f t="shared" si="57"/>
        <v>7.5583910123903681</v>
      </c>
      <c r="H139" s="295">
        <f t="shared" si="57"/>
        <v>7.5583910123903673</v>
      </c>
      <c r="I139" s="295">
        <f t="shared" si="57"/>
        <v>7.5583910123903673</v>
      </c>
      <c r="J139" s="243"/>
    </row>
    <row r="140" spans="1:10" ht="15.5" x14ac:dyDescent="0.3">
      <c r="A140" s="1"/>
      <c r="B140" s="94" t="s">
        <v>69</v>
      </c>
      <c r="C140" s="53"/>
      <c r="D140" s="96"/>
      <c r="E140" s="96"/>
      <c r="F140" s="96"/>
      <c r="G140" s="96"/>
      <c r="H140" s="96"/>
      <c r="I140" s="96"/>
      <c r="J140" s="243"/>
    </row>
    <row r="141" spans="1:10" ht="15.5" x14ac:dyDescent="0.3">
      <c r="A141" s="1"/>
      <c r="B141" s="95" t="s">
        <v>82</v>
      </c>
      <c r="C141" s="52"/>
      <c r="D141" s="312">
        <f t="shared" ref="D141:I141" si="58">-D45/D62</f>
        <v>0.62032869484651587</v>
      </c>
      <c r="E141" s="295">
        <f t="shared" si="58"/>
        <v>0.60124719697156137</v>
      </c>
      <c r="F141" s="295">
        <f t="shared" si="58"/>
        <v>0.55704537833664025</v>
      </c>
      <c r="G141" s="295">
        <f t="shared" si="58"/>
        <v>0.4994367499937073</v>
      </c>
      <c r="H141" s="295">
        <f t="shared" si="58"/>
        <v>0.44643045609663584</v>
      </c>
      <c r="I141" s="295">
        <f t="shared" si="58"/>
        <v>0.42019243600192729</v>
      </c>
      <c r="J141" s="243"/>
    </row>
    <row r="142" spans="1:10" ht="15.5" x14ac:dyDescent="0.3">
      <c r="A142" s="1"/>
      <c r="B142" s="95" t="s">
        <v>83</v>
      </c>
      <c r="C142" s="52"/>
      <c r="D142" s="312">
        <f>91/D141</f>
        <v>146.69642200336318</v>
      </c>
      <c r="E142" s="295">
        <f t="shared" ref="E142:I142" si="59">91/E141</f>
        <v>151.35205695487716</v>
      </c>
      <c r="F142" s="295">
        <f t="shared" si="59"/>
        <v>163.36191545423037</v>
      </c>
      <c r="G142" s="295">
        <f t="shared" si="59"/>
        <v>182.20525422117328</v>
      </c>
      <c r="H142" s="295">
        <f t="shared" si="59"/>
        <v>203.83913946117923</v>
      </c>
      <c r="I142" s="295">
        <f t="shared" si="59"/>
        <v>216.56743958994684</v>
      </c>
      <c r="J142" s="243"/>
    </row>
    <row r="143" spans="1:10" ht="15.5" x14ac:dyDescent="0.3">
      <c r="A143" s="1"/>
      <c r="B143" s="95" t="s">
        <v>84</v>
      </c>
      <c r="C143" s="52"/>
      <c r="D143" s="312">
        <f t="shared" ref="D143:I143" si="60">D44/(SUM(D70:D75))</f>
        <v>0.78473335729767868</v>
      </c>
      <c r="E143" s="295">
        <f t="shared" si="60"/>
        <v>0.53875681651504603</v>
      </c>
      <c r="F143" s="295">
        <f t="shared" si="60"/>
        <v>0.52267143317329801</v>
      </c>
      <c r="G143" s="295">
        <f t="shared" si="60"/>
        <v>0.52752851354151087</v>
      </c>
      <c r="H143" s="295">
        <f t="shared" si="60"/>
        <v>0.62293573749602382</v>
      </c>
      <c r="I143" s="295">
        <f t="shared" si="60"/>
        <v>0.54776467680905072</v>
      </c>
      <c r="J143" s="243"/>
    </row>
    <row r="144" spans="1:10" ht="15.5" x14ac:dyDescent="0.3">
      <c r="A144" s="1"/>
      <c r="B144" s="95" t="s">
        <v>85</v>
      </c>
      <c r="C144" s="52"/>
      <c r="D144" s="312">
        <f t="shared" ref="D144:I144" si="61">D44/D70</f>
        <v>2.0911925614560953</v>
      </c>
      <c r="E144" s="295">
        <f t="shared" si="61"/>
        <v>0.94291296199466168</v>
      </c>
      <c r="F144" s="295">
        <f t="shared" si="61"/>
        <v>0.89794991815960745</v>
      </c>
      <c r="G144" s="295">
        <f t="shared" si="61"/>
        <v>0.91029213517932439</v>
      </c>
      <c r="H144" s="295">
        <f t="shared" si="61"/>
        <v>1.1874940434497794</v>
      </c>
      <c r="I144" s="295">
        <f t="shared" si="61"/>
        <v>0.96148805607188925</v>
      </c>
      <c r="J144" s="243"/>
    </row>
    <row r="145" spans="1:10" ht="15.5" x14ac:dyDescent="0.3">
      <c r="A145" s="1"/>
      <c r="B145" s="94" t="s">
        <v>70</v>
      </c>
      <c r="C145" s="53"/>
      <c r="D145" s="53"/>
      <c r="E145" s="53"/>
      <c r="F145" s="53"/>
      <c r="G145" s="53"/>
      <c r="H145" s="53"/>
      <c r="I145" s="53"/>
      <c r="J145" s="243"/>
    </row>
    <row r="146" spans="1:10" ht="15.5" x14ac:dyDescent="0.3">
      <c r="A146" s="1"/>
      <c r="B146" s="95" t="s">
        <v>86</v>
      </c>
      <c r="C146" s="52"/>
      <c r="D146" s="313">
        <f t="shared" ref="D146:I146" si="62">D49/D44</f>
        <v>0.11014224059646777</v>
      </c>
      <c r="E146" s="269">
        <f t="shared" si="62"/>
        <v>0.1049109587524532</v>
      </c>
      <c r="F146" s="269">
        <f t="shared" si="62"/>
        <v>5.9427096388702701E-2</v>
      </c>
      <c r="G146" s="269">
        <f t="shared" si="62"/>
        <v>7.2037799091759211E-2</v>
      </c>
      <c r="H146" s="269">
        <f t="shared" si="62"/>
        <v>0.28828224200994695</v>
      </c>
      <c r="I146" s="269">
        <f t="shared" si="62"/>
        <v>0.1204714951224668</v>
      </c>
      <c r="J146" s="243"/>
    </row>
    <row r="147" spans="1:10" ht="15.5" x14ac:dyDescent="0.3">
      <c r="A147" s="1"/>
      <c r="B147" s="95" t="s">
        <v>87</v>
      </c>
      <c r="C147" s="52"/>
      <c r="D147" s="313">
        <f t="shared" ref="D147:I147" si="63">D55/D77</f>
        <v>3.2924327737635567E-2</v>
      </c>
      <c r="E147" s="269">
        <f t="shared" si="63"/>
        <v>2.5511224964443108E-2</v>
      </c>
      <c r="F147" s="269">
        <f t="shared" si="63"/>
        <v>4.95285153446599E-3</v>
      </c>
      <c r="G147" s="269">
        <f t="shared" si="63"/>
        <v>6.7691491070446417E-3</v>
      </c>
      <c r="H147" s="269">
        <f t="shared" si="63"/>
        <v>6.0487478486476898E-2</v>
      </c>
      <c r="I147" s="269">
        <f t="shared" si="63"/>
        <v>1.675241088622938E-2</v>
      </c>
      <c r="J147" s="243"/>
    </row>
    <row r="148" spans="1:10" ht="15.5" x14ac:dyDescent="0.3">
      <c r="A148" s="1"/>
      <c r="B148" s="95" t="s">
        <v>88</v>
      </c>
      <c r="C148" s="52"/>
      <c r="D148" s="313">
        <f t="shared" ref="D148:I148" si="64">D55/D44</f>
        <v>8.0792672791337422E-2</v>
      </c>
      <c r="E148" s="269">
        <f t="shared" si="64"/>
        <v>6.9366255128829088E-2</v>
      </c>
      <c r="F148" s="269">
        <f t="shared" si="64"/>
        <v>2.2194182863535014E-2</v>
      </c>
      <c r="G148" s="269">
        <f t="shared" si="64"/>
        <v>3.5329310807543292E-2</v>
      </c>
      <c r="H148" s="269">
        <f t="shared" si="64"/>
        <v>0.26019435045450545</v>
      </c>
      <c r="I148" s="269">
        <f t="shared" si="64"/>
        <v>8.5852413216012308E-2</v>
      </c>
      <c r="J148" s="243"/>
    </row>
    <row r="149" spans="1:10" ht="15.5" x14ac:dyDescent="0.3">
      <c r="A149" s="1"/>
      <c r="B149" s="95" t="s">
        <v>89</v>
      </c>
      <c r="C149" s="52"/>
      <c r="D149" s="313">
        <f t="shared" ref="D149:I149" si="65">D55/D97</f>
        <v>8.76846837882366E-2</v>
      </c>
      <c r="E149" s="269">
        <f t="shared" si="65"/>
        <v>7.3160915323817882E-2</v>
      </c>
      <c r="F149" s="269">
        <f t="shared" si="65"/>
        <v>2.2004150303233425E-2</v>
      </c>
      <c r="G149" s="269">
        <f t="shared" si="65"/>
        <v>3.449594027757602E-2</v>
      </c>
      <c r="H149" s="269">
        <f t="shared" si="65"/>
        <v>0.32534249063931026</v>
      </c>
      <c r="I149" s="269">
        <f t="shared" si="65"/>
        <v>8.5465603520792341E-2</v>
      </c>
      <c r="J149" s="243"/>
    </row>
    <row r="150" spans="1:10" ht="15.5" x14ac:dyDescent="0.3">
      <c r="A150" s="1"/>
      <c r="B150" s="94" t="s">
        <v>72</v>
      </c>
      <c r="C150" s="53"/>
      <c r="D150" s="53"/>
      <c r="E150" s="53"/>
      <c r="F150" s="53"/>
      <c r="G150" s="53"/>
      <c r="H150" s="53"/>
      <c r="I150" s="53"/>
      <c r="J150" s="243"/>
    </row>
    <row r="151" spans="1:10" ht="15.5" x14ac:dyDescent="0.3">
      <c r="A151" s="1"/>
      <c r="B151" s="97" t="s">
        <v>90</v>
      </c>
      <c r="C151" s="52"/>
      <c r="D151" s="309">
        <f t="shared" ref="D151:I151" si="66">D91/D77</f>
        <v>0.6245144954032148</v>
      </c>
      <c r="E151" s="296">
        <f t="shared" si="66"/>
        <v>0.89097383073321268</v>
      </c>
      <c r="F151" s="296">
        <f t="shared" si="66"/>
        <v>0.92681885317674506</v>
      </c>
      <c r="G151" s="296">
        <f t="shared" si="66"/>
        <v>0.80376968847418528</v>
      </c>
      <c r="H151" s="296">
        <f t="shared" si="66"/>
        <v>0.81408060666279192</v>
      </c>
      <c r="I151" s="296">
        <f t="shared" si="66"/>
        <v>0.80398651391780307</v>
      </c>
      <c r="J151" s="243"/>
    </row>
    <row r="152" spans="1:10" ht="15.5" x14ac:dyDescent="0.3">
      <c r="A152" s="1"/>
      <c r="B152" s="97" t="s">
        <v>91</v>
      </c>
      <c r="C152" s="52"/>
      <c r="D152" s="312">
        <f t="shared" ref="D152:I152" si="67">D77/D97</f>
        <v>2.6632186536038169</v>
      </c>
      <c r="E152" s="295">
        <f t="shared" si="67"/>
        <v>2.8677931156103909</v>
      </c>
      <c r="F152" s="295">
        <f t="shared" si="67"/>
        <v>4.4427235805698109</v>
      </c>
      <c r="G152" s="295">
        <f t="shared" si="67"/>
        <v>5.0960526547828815</v>
      </c>
      <c r="H152" s="295">
        <f t="shared" si="67"/>
        <v>5.3786750378765849</v>
      </c>
      <c r="I152" s="295">
        <f t="shared" si="67"/>
        <v>5.1016897866948669</v>
      </c>
      <c r="J152" s="243"/>
    </row>
    <row r="153" spans="1:10" ht="15.5" x14ac:dyDescent="0.3">
      <c r="A153" s="1"/>
      <c r="B153" s="97" t="s">
        <v>92</v>
      </c>
      <c r="C153" s="52"/>
      <c r="D153" s="312">
        <f t="shared" ref="D153:I153" si="68">D85/D91</f>
        <v>0.57962773772297627</v>
      </c>
      <c r="E153" s="295">
        <f t="shared" si="68"/>
        <v>0.73099768930514386</v>
      </c>
      <c r="F153" s="295">
        <f t="shared" si="68"/>
        <v>0.83609957314239158</v>
      </c>
      <c r="G153" s="295">
        <f t="shared" si="68"/>
        <v>0.83811583050390115</v>
      </c>
      <c r="H153" s="295">
        <f t="shared" si="68"/>
        <v>0.85023044171581075</v>
      </c>
      <c r="I153" s="295">
        <f t="shared" si="68"/>
        <v>0.84395770850405294</v>
      </c>
      <c r="J153" s="243"/>
    </row>
    <row r="154" spans="1:10" ht="15.5" x14ac:dyDescent="0.3">
      <c r="A154" s="1"/>
      <c r="B154" s="97" t="s">
        <v>93</v>
      </c>
      <c r="C154" s="52"/>
      <c r="D154" s="312">
        <f t="shared" ref="D154:I154" si="69">D49/-D52</f>
        <v>4.2859769050601884</v>
      </c>
      <c r="E154" s="295">
        <f t="shared" si="69"/>
        <v>3.0699711611420528</v>
      </c>
      <c r="F154" s="295">
        <f t="shared" si="69"/>
        <v>1.656640010698891</v>
      </c>
      <c r="G154" s="295">
        <f t="shared" si="69"/>
        <v>2.0359411391023801</v>
      </c>
      <c r="H154" s="295">
        <f t="shared" si="69"/>
        <v>10.631261357580433</v>
      </c>
      <c r="I154" s="295">
        <f t="shared" si="69"/>
        <v>3.5982234877679642</v>
      </c>
      <c r="J154" s="243"/>
    </row>
    <row r="155" spans="1:10" ht="15.5" x14ac:dyDescent="0.3">
      <c r="A155" s="1"/>
      <c r="B155" s="94" t="s">
        <v>71</v>
      </c>
      <c r="C155" s="53"/>
      <c r="D155" s="53"/>
      <c r="E155" s="53"/>
      <c r="F155" s="53"/>
      <c r="G155" s="53"/>
      <c r="H155" s="53"/>
      <c r="I155" s="53"/>
      <c r="J155" s="243"/>
    </row>
    <row r="156" spans="1:10" ht="15.5" x14ac:dyDescent="0.3">
      <c r="A156" s="1"/>
      <c r="B156" s="95" t="s">
        <v>94</v>
      </c>
      <c r="C156" s="52"/>
      <c r="D156" s="313">
        <f>D148</f>
        <v>8.0792672791337422E-2</v>
      </c>
      <c r="E156" s="269">
        <f t="shared" ref="E156:I156" si="70">E148</f>
        <v>6.9366255128829088E-2</v>
      </c>
      <c r="F156" s="269">
        <f t="shared" si="70"/>
        <v>2.2194182863535014E-2</v>
      </c>
      <c r="G156" s="269">
        <f t="shared" si="70"/>
        <v>3.5329310807543292E-2</v>
      </c>
      <c r="H156" s="269">
        <f t="shared" si="70"/>
        <v>0.26019435045450545</v>
      </c>
      <c r="I156" s="269">
        <f t="shared" si="70"/>
        <v>8.5852413216012308E-2</v>
      </c>
      <c r="J156" s="243"/>
    </row>
    <row r="157" spans="1:10" ht="15.5" x14ac:dyDescent="0.3">
      <c r="A157" s="1"/>
      <c r="B157" s="95" t="s">
        <v>95</v>
      </c>
      <c r="C157" s="52"/>
      <c r="D157" s="314">
        <f>D143</f>
        <v>0.78473335729767868</v>
      </c>
      <c r="E157" s="297">
        <f t="shared" ref="E157:I157" si="71">E143</f>
        <v>0.53875681651504603</v>
      </c>
      <c r="F157" s="297">
        <f t="shared" si="71"/>
        <v>0.52267143317329801</v>
      </c>
      <c r="G157" s="297">
        <f t="shared" si="71"/>
        <v>0.52752851354151087</v>
      </c>
      <c r="H157" s="297">
        <f t="shared" si="71"/>
        <v>0.62293573749602382</v>
      </c>
      <c r="I157" s="297">
        <f t="shared" si="71"/>
        <v>0.54776467680905072</v>
      </c>
      <c r="J157" s="243"/>
    </row>
    <row r="158" spans="1:10" ht="15.5" x14ac:dyDescent="0.3">
      <c r="A158" s="1"/>
      <c r="B158" s="95" t="s">
        <v>96</v>
      </c>
      <c r="C158" s="52"/>
      <c r="D158" s="312">
        <f>D152</f>
        <v>2.6632186536038169</v>
      </c>
      <c r="E158" s="295">
        <f t="shared" ref="E158:I158" si="72">E152</f>
        <v>2.8677931156103909</v>
      </c>
      <c r="F158" s="295">
        <f t="shared" si="72"/>
        <v>4.4427235805698109</v>
      </c>
      <c r="G158" s="295">
        <f t="shared" si="72"/>
        <v>5.0960526547828815</v>
      </c>
      <c r="H158" s="295">
        <f t="shared" si="72"/>
        <v>5.3786750378765849</v>
      </c>
      <c r="I158" s="295">
        <f t="shared" si="72"/>
        <v>5.1016897866948669</v>
      </c>
      <c r="J158" s="243"/>
    </row>
    <row r="159" spans="1:10" ht="15.5" x14ac:dyDescent="0.3">
      <c r="A159" s="1"/>
      <c r="B159" s="95" t="s">
        <v>89</v>
      </c>
      <c r="C159" s="52"/>
      <c r="D159" s="313">
        <f>D156*D157*D158</f>
        <v>0.16884994117863972</v>
      </c>
      <c r="E159" s="269">
        <f t="shared" ref="E159:I159" si="73">E156*E157*E158</f>
        <v>0.10717385312366237</v>
      </c>
      <c r="F159" s="269">
        <f t="shared" si="73"/>
        <v>5.1536772479703626E-2</v>
      </c>
      <c r="G159" s="269">
        <f t="shared" si="73"/>
        <v>9.4976248418672887E-2</v>
      </c>
      <c r="H159" s="269">
        <f t="shared" si="73"/>
        <v>0.87179909897133978</v>
      </c>
      <c r="I159" s="269">
        <f t="shared" si="73"/>
        <v>0.23991675429325132</v>
      </c>
      <c r="J159" s="243"/>
    </row>
    <row r="160" spans="1:10" ht="15.5" x14ac:dyDescent="0.3">
      <c r="A160" s="1"/>
      <c r="B160" s="94" t="s">
        <v>302</v>
      </c>
      <c r="C160" s="53"/>
      <c r="D160" s="53"/>
      <c r="E160" s="53"/>
      <c r="F160" s="53"/>
      <c r="G160" s="53"/>
      <c r="H160" s="53"/>
      <c r="I160" s="53"/>
      <c r="J160" s="243"/>
    </row>
    <row r="161" spans="1:10" ht="15.5" x14ac:dyDescent="0.3">
      <c r="A161" s="1"/>
      <c r="B161" s="95" t="s">
        <v>298</v>
      </c>
      <c r="C161" s="52"/>
      <c r="D161" s="313">
        <f>((2857623/2530100)/(1))-1</f>
        <v>0.12945061460021345</v>
      </c>
      <c r="E161" s="269">
        <f>((E44/D44)/(1))-1</f>
        <v>3.9490985897294717E-3</v>
      </c>
      <c r="F161" s="269">
        <f>((F44/E44)/(1))-1</f>
        <v>-2.8525307020046298E-2</v>
      </c>
      <c r="G161" s="269">
        <f>((G44/F44)/(1))-1</f>
        <v>1.818791065146419E-2</v>
      </c>
      <c r="H161" s="269">
        <f>((H44/G44)/(1))-1</f>
        <v>0.32444340999041743</v>
      </c>
      <c r="I161" s="269">
        <f>((I44/H44)/(1))-1</f>
        <v>-0.17627745247023141</v>
      </c>
      <c r="J161" s="243"/>
    </row>
    <row r="162" spans="1:10" ht="15.5" x14ac:dyDescent="0.3">
      <c r="A162" s="1"/>
      <c r="B162" s="95" t="s">
        <v>299</v>
      </c>
      <c r="C162" s="52"/>
      <c r="D162" s="313">
        <f>((230875/242179)/(1))-1</f>
        <v>-4.6676218829873717E-2</v>
      </c>
      <c r="E162" s="269">
        <f>((E55/D55)/(1))-1</f>
        <v>-0.13803830343634849</v>
      </c>
      <c r="F162" s="269">
        <f>((F55/E55)/(1))-1</f>
        <v>-0.68917037624058364</v>
      </c>
      <c r="G162" s="269">
        <f>((G55/F55)/(1))-1</f>
        <v>0.62077952484524213</v>
      </c>
      <c r="H162" s="269">
        <f>((H55/G55)/(1))-1</f>
        <v>8.7542998971445378</v>
      </c>
      <c r="I162" s="269">
        <f>((I55/H55)/(1))-1</f>
        <v>-0.72820867016389323</v>
      </c>
      <c r="J162" s="243"/>
    </row>
    <row r="163" spans="1:10" ht="15.5" x14ac:dyDescent="0.3">
      <c r="A163" s="1"/>
      <c r="B163" s="95" t="s">
        <v>300</v>
      </c>
      <c r="C163" s="52"/>
      <c r="D163" s="315">
        <f t="shared" ref="D163:I163" si="74">D46/D44</f>
        <v>0.40441478809486064</v>
      </c>
      <c r="E163" s="268">
        <f t="shared" si="74"/>
        <v>0.37900634764080399</v>
      </c>
      <c r="F163" s="268">
        <f t="shared" si="74"/>
        <v>0.34854283484908299</v>
      </c>
      <c r="G163" s="268">
        <f t="shared" si="74"/>
        <v>0.35751074034129365</v>
      </c>
      <c r="H163" s="268">
        <f t="shared" si="74"/>
        <v>0.5078452895697928</v>
      </c>
      <c r="I163" s="268">
        <f t="shared" si="74"/>
        <v>0.39265024195502213</v>
      </c>
      <c r="J163" s="243"/>
    </row>
    <row r="164" spans="1:10" ht="15.5" x14ac:dyDescent="0.3">
      <c r="A164" s="1"/>
      <c r="B164" s="95" t="s">
        <v>301</v>
      </c>
      <c r="C164" s="52"/>
      <c r="D164" s="313">
        <f t="shared" ref="D164:I164" si="75">D48/D44</f>
        <v>-0.29427254749839288</v>
      </c>
      <c r="E164" s="269">
        <f t="shared" si="75"/>
        <v>-0.27409538888835083</v>
      </c>
      <c r="F164" s="269">
        <f t="shared" si="75"/>
        <v>-0.2891157384603803</v>
      </c>
      <c r="G164" s="269">
        <f t="shared" si="75"/>
        <v>-0.28547294124953443</v>
      </c>
      <c r="H164" s="269">
        <f t="shared" si="75"/>
        <v>-0.21956304755984585</v>
      </c>
      <c r="I164" s="269">
        <f t="shared" si="75"/>
        <v>-0.27217874683255533</v>
      </c>
      <c r="J164" s="243"/>
    </row>
    <row r="165" spans="1:10" ht="15.5" x14ac:dyDescent="0.3">
      <c r="A165" s="1"/>
      <c r="B165" s="95" t="s">
        <v>303</v>
      </c>
      <c r="C165" s="1"/>
      <c r="D165" s="316">
        <f t="shared" ref="D165:I165" si="76">D49/D44</f>
        <v>0.11014224059646777</v>
      </c>
      <c r="E165" s="300">
        <f t="shared" si="76"/>
        <v>0.1049109587524532</v>
      </c>
      <c r="F165" s="300">
        <f t="shared" si="76"/>
        <v>5.9427096388702701E-2</v>
      </c>
      <c r="G165" s="300">
        <f t="shared" si="76"/>
        <v>7.2037799091759211E-2</v>
      </c>
      <c r="H165" s="300">
        <f t="shared" si="76"/>
        <v>0.28828224200994695</v>
      </c>
      <c r="I165" s="300">
        <f t="shared" si="76"/>
        <v>0.1204714951224668</v>
      </c>
      <c r="J165" s="243"/>
    </row>
    <row r="166" spans="1:10" ht="15.5" x14ac:dyDescent="0.3">
      <c r="A166" s="1"/>
      <c r="B166" s="95" t="s">
        <v>304</v>
      </c>
      <c r="C166" s="1"/>
      <c r="D166" s="316">
        <f t="shared" ref="D166:I166" si="77">D51/D44</f>
        <v>0.10683564626964438</v>
      </c>
      <c r="E166" s="300">
        <f t="shared" si="77"/>
        <v>0.10379630285627357</v>
      </c>
      <c r="F166" s="300">
        <f t="shared" si="77"/>
        <v>5.8330562466663675E-2</v>
      </c>
      <c r="G166" s="300">
        <f t="shared" si="77"/>
        <v>7.0971951050975035E-2</v>
      </c>
      <c r="H166" s="300">
        <f t="shared" si="77"/>
        <v>0.28750681938855166</v>
      </c>
      <c r="I166" s="300">
        <f t="shared" si="77"/>
        <v>0.11957118659082369</v>
      </c>
      <c r="J166" s="243"/>
    </row>
    <row r="167" spans="1:10" ht="15.5" x14ac:dyDescent="0.3">
      <c r="B167" s="95" t="s">
        <v>305</v>
      </c>
      <c r="D167" s="316">
        <f t="shared" ref="D167:I167" si="78">D87/D97</f>
        <v>0.65788446244493948</v>
      </c>
      <c r="E167" s="300">
        <f t="shared" si="78"/>
        <v>0.64637283293881664</v>
      </c>
      <c r="F167" s="300">
        <f t="shared" si="78"/>
        <v>0.63482234751949329</v>
      </c>
      <c r="G167" s="300">
        <f t="shared" si="78"/>
        <v>0.62324340527373101</v>
      </c>
      <c r="H167" s="300">
        <f t="shared" si="78"/>
        <v>0.61164640845215457</v>
      </c>
      <c r="I167" s="300">
        <f t="shared" si="78"/>
        <v>0.60004172417601942</v>
      </c>
      <c r="J167" s="243"/>
    </row>
    <row r="168" spans="1:10" ht="15.5" x14ac:dyDescent="0.3">
      <c r="B168" s="95" t="s">
        <v>306</v>
      </c>
      <c r="D168" s="317">
        <f>((309419/318502)/(1))-1</f>
        <v>-2.8517874299062496E-2</v>
      </c>
      <c r="E168" s="318">
        <f>((D51/E51)/(1))-1</f>
        <v>2.5233061581858562E-2</v>
      </c>
      <c r="F168" s="318">
        <f>((E51/F51)/(1))-1</f>
        <v>0.8316995075207938</v>
      </c>
      <c r="G168" s="318">
        <f>((F51/G51)/(1))-1</f>
        <v>-0.19279938574321864</v>
      </c>
      <c r="H168" s="318">
        <f>((G51/H51)/(1))-1</f>
        <v>-0.81361747655255912</v>
      </c>
      <c r="I168" s="318">
        <f>((H51/I51)/(1))-1</f>
        <v>1.9190441062291885</v>
      </c>
      <c r="J168" s="243"/>
    </row>
    <row r="169" spans="1:10" x14ac:dyDescent="0.3">
      <c r="D169" s="308"/>
    </row>
  </sheetData>
  <phoneticPr fontId="38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1295592-F14E-4B31-A72C-5A0ECED2574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'ULTA Forecast'!E131:H131</xm:f>
              <xm:sqref>I131</xm:sqref>
            </x14:sparkline>
          </x14:sparklines>
        </x14:sparklineGroup>
        <x14:sparklineGroup displayEmptyCellsAs="gap" xr2:uid="{49D66B7D-6AB1-4C16-9E76-6E790AD812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'ULTA Forecast'!D44:I44</xm:f>
              <xm:sqref>J44</xm:sqref>
            </x14:sparkline>
            <x14:sparkline>
              <xm:f>'ULTA Forecast'!D45:I45</xm:f>
              <xm:sqref>J45</xm:sqref>
            </x14:sparkline>
            <x14:sparkline>
              <xm:f>'ULTA Forecast'!D46:I46</xm:f>
              <xm:sqref>J46</xm:sqref>
            </x14:sparkline>
          </x14:sparklines>
        </x14:sparklineGroup>
        <x14:sparklineGroup displayEmptyCellsAs="gap" xr2:uid="{C0C2DA80-ED0C-4DC2-92B2-AE777B12F3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'ULTA Forecast'!E100:H100</xm:f>
              <xm:sqref>I100</xm:sqref>
            </x14:sparkline>
            <x14:sparkline>
              <xm:f>'ULTA Forecast'!E101:H101</xm:f>
              <xm:sqref>I101</xm:sqref>
            </x14:sparkline>
            <x14:sparkline>
              <xm:f>'ULTA Forecast'!E132:H132</xm:f>
              <xm:sqref>I132</xm:sqref>
            </x14:sparkline>
          </x14:sparklines>
        </x14:sparklineGroup>
        <x14:sparklineGroup displayEmptyCellsAs="gap" xr2:uid="{FB2F2B6C-9DE4-4303-B945-7007A0CC0F5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'ULTA Forecast'!F103:I103</xm:f>
              <xm:sqref>J103</xm:sqref>
            </x14:sparkline>
            <x14:sparkline>
              <xm:f>'ULTA Forecast'!F104:I104</xm:f>
              <xm:sqref>J104</xm:sqref>
            </x14:sparkline>
            <x14:sparkline>
              <xm:f>'ULTA Forecast'!F105:I105</xm:f>
              <xm:sqref>J105</xm:sqref>
            </x14:sparkline>
            <x14:sparkline>
              <xm:f>'ULTA Forecast'!F106:I106</xm:f>
              <xm:sqref>J106</xm:sqref>
            </x14:sparkline>
            <x14:sparkline>
              <xm:f>'ULTA Forecast'!F107:I107</xm:f>
              <xm:sqref>J107</xm:sqref>
            </x14:sparkline>
            <x14:sparkline>
              <xm:f>'ULTA Forecast'!F108:I108</xm:f>
              <xm:sqref>J108</xm:sqref>
            </x14:sparkline>
            <x14:sparkline>
              <xm:f>'ULTA Forecast'!F109:I109</xm:f>
              <xm:sqref>J109</xm:sqref>
            </x14:sparkline>
            <x14:sparkline>
              <xm:f>'ULTA Forecast'!F110:I110</xm:f>
              <xm:sqref>J110</xm:sqref>
            </x14:sparkline>
            <x14:sparkline>
              <xm:f>'ULTA Forecast'!F111:I111</xm:f>
              <xm:sqref>J111</xm:sqref>
            </x14:sparkline>
            <x14:sparkline>
              <xm:f>'ULTA Forecast'!F112:I112</xm:f>
              <xm:sqref>J112</xm:sqref>
            </x14:sparkline>
            <x14:sparkline>
              <xm:f>'ULTA Forecast'!F113:I113</xm:f>
              <xm:sqref>J113</xm:sqref>
            </x14:sparkline>
            <x14:sparkline>
              <xm:f>'ULTA Forecast'!F114:I114</xm:f>
              <xm:sqref>J114</xm:sqref>
            </x14:sparkline>
            <x14:sparkline>
              <xm:f>'ULTA Forecast'!F115:I115</xm:f>
              <xm:sqref>J115</xm:sqref>
            </x14:sparkline>
            <x14:sparkline>
              <xm:f>'ULTA Forecast'!F116:I116</xm:f>
              <xm:sqref>J116</xm:sqref>
            </x14:sparkline>
            <x14:sparkline>
              <xm:f>'ULTA Forecast'!F117:I117</xm:f>
              <xm:sqref>J117</xm:sqref>
            </x14:sparkline>
            <x14:sparkline>
              <xm:f>'ULTA Forecast'!F118:I118</xm:f>
              <xm:sqref>J118</xm:sqref>
            </x14:sparkline>
            <x14:sparkline>
              <xm:f>'ULTA Forecast'!F119:I119</xm:f>
              <xm:sqref>J119</xm:sqref>
            </x14:sparkline>
            <x14:sparkline>
              <xm:f>'ULTA Forecast'!F120:I120</xm:f>
              <xm:sqref>J120</xm:sqref>
            </x14:sparkline>
            <x14:sparkline>
              <xm:f>'ULTA Forecast'!F121:I121</xm:f>
              <xm:sqref>J121</xm:sqref>
            </x14:sparkline>
            <x14:sparkline>
              <xm:f>'ULTA Forecast'!F122:I122</xm:f>
              <xm:sqref>J122</xm:sqref>
            </x14:sparkline>
            <x14:sparkline>
              <xm:f>'ULTA Forecast'!F123:I123</xm:f>
              <xm:sqref>J123</xm:sqref>
            </x14:sparkline>
            <x14:sparkline>
              <xm:f>'ULTA Forecast'!F124:I124</xm:f>
              <xm:sqref>J124</xm:sqref>
            </x14:sparkline>
            <x14:sparkline>
              <xm:f>'ULTA Forecast'!F125:I125</xm:f>
              <xm:sqref>J125</xm:sqref>
            </x14:sparkline>
            <x14:sparkline>
              <xm:f>'ULTA Forecast'!F126:I126</xm:f>
              <xm:sqref>J126</xm:sqref>
            </x14:sparkline>
            <x14:sparkline>
              <xm:f>'ULTA Forecast'!F127:I127</xm:f>
              <xm:sqref>J127</xm:sqref>
            </x14:sparkline>
            <x14:sparkline>
              <xm:f>'ULTA Forecast'!F128:I128</xm:f>
              <xm:sqref>J128</xm:sqref>
            </x14:sparkline>
            <x14:sparkline>
              <xm:f>'ULTA Forecast'!F129:I129</xm:f>
              <xm:sqref>J129</xm:sqref>
            </x14:sparkline>
            <x14:sparkline>
              <xm:f>'ULTA Forecast'!F130:I130</xm:f>
              <xm:sqref>J130</xm:sqref>
            </x14:sparkline>
          </x14:sparklines>
        </x14:sparklineGroup>
        <x14:sparklineGroup displayEmptyCellsAs="gap" xr2:uid="{0E443FBF-F80F-4F71-8B6D-E033599D9E6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'ULTA Forecast'!F136:I136</xm:f>
              <xm:sqref>J136</xm:sqref>
            </x14:sparkline>
            <x14:sparkline>
              <xm:f>'ULTA Forecast'!F137:I137</xm:f>
              <xm:sqref>J137</xm:sqref>
            </x14:sparkline>
            <x14:sparkline>
              <xm:f>'ULTA Forecast'!F138:I138</xm:f>
              <xm:sqref>J138</xm:sqref>
            </x14:sparkline>
            <x14:sparkline>
              <xm:f>'ULTA Forecast'!F139:I139</xm:f>
              <xm:sqref>J139</xm:sqref>
            </x14:sparkline>
            <x14:sparkline>
              <xm:f>'ULTA Forecast'!F140:I140</xm:f>
              <xm:sqref>J140</xm:sqref>
            </x14:sparkline>
            <x14:sparkline>
              <xm:f>'ULTA Forecast'!F141:I141</xm:f>
              <xm:sqref>J141</xm:sqref>
            </x14:sparkline>
            <x14:sparkline>
              <xm:f>'ULTA Forecast'!F142:I142</xm:f>
              <xm:sqref>J142</xm:sqref>
            </x14:sparkline>
            <x14:sparkline>
              <xm:f>'ULTA Forecast'!F143:I143</xm:f>
              <xm:sqref>J143</xm:sqref>
            </x14:sparkline>
            <x14:sparkline>
              <xm:f>'ULTA Forecast'!F144:I144</xm:f>
              <xm:sqref>J144</xm:sqref>
            </x14:sparkline>
            <x14:sparkline>
              <xm:f>'ULTA Forecast'!F145:I145</xm:f>
              <xm:sqref>J145</xm:sqref>
            </x14:sparkline>
            <x14:sparkline>
              <xm:f>'ULTA Forecast'!F146:I146</xm:f>
              <xm:sqref>J146</xm:sqref>
            </x14:sparkline>
            <x14:sparkline>
              <xm:f>'ULTA Forecast'!F147:I147</xm:f>
              <xm:sqref>J147</xm:sqref>
            </x14:sparkline>
            <x14:sparkline>
              <xm:f>'ULTA Forecast'!F148:I148</xm:f>
              <xm:sqref>J148</xm:sqref>
            </x14:sparkline>
            <x14:sparkline>
              <xm:f>'ULTA Forecast'!F149:I149</xm:f>
              <xm:sqref>J149</xm:sqref>
            </x14:sparkline>
            <x14:sparkline>
              <xm:f>'ULTA Forecast'!F150:I150</xm:f>
              <xm:sqref>J150</xm:sqref>
            </x14:sparkline>
            <x14:sparkline>
              <xm:f>'ULTA Forecast'!F151:I151</xm:f>
              <xm:sqref>J151</xm:sqref>
            </x14:sparkline>
            <x14:sparkline>
              <xm:f>'ULTA Forecast'!F152:I152</xm:f>
              <xm:sqref>J152</xm:sqref>
            </x14:sparkline>
            <x14:sparkline>
              <xm:f>'ULTA Forecast'!F153:I153</xm:f>
              <xm:sqref>J153</xm:sqref>
            </x14:sparkline>
            <x14:sparkline>
              <xm:f>'ULTA Forecast'!F154:I154</xm:f>
              <xm:sqref>J154</xm:sqref>
            </x14:sparkline>
            <x14:sparkline>
              <xm:f>'ULTA Forecast'!F155:I155</xm:f>
              <xm:sqref>J155</xm:sqref>
            </x14:sparkline>
            <x14:sparkline>
              <xm:f>'ULTA Forecast'!F156:I156</xm:f>
              <xm:sqref>J156</xm:sqref>
            </x14:sparkline>
            <x14:sparkline>
              <xm:f>'ULTA Forecast'!F157:I157</xm:f>
              <xm:sqref>J157</xm:sqref>
            </x14:sparkline>
            <x14:sparkline>
              <xm:f>'ULTA Forecast'!F158:I158</xm:f>
              <xm:sqref>J158</xm:sqref>
            </x14:sparkline>
            <x14:sparkline>
              <xm:f>'ULTA Forecast'!F159:I159</xm:f>
              <xm:sqref>J159</xm:sqref>
            </x14:sparkline>
            <x14:sparkline>
              <xm:f>'ULTA Forecast'!F160:I160</xm:f>
              <xm:sqref>J160</xm:sqref>
            </x14:sparkline>
            <x14:sparkline>
              <xm:f>'ULTA Forecast'!F161:I161</xm:f>
              <xm:sqref>J161</xm:sqref>
            </x14:sparkline>
            <x14:sparkline>
              <xm:f>'ULTA Forecast'!F162:I162</xm:f>
              <xm:sqref>J162</xm:sqref>
            </x14:sparkline>
            <x14:sparkline>
              <xm:f>'ULTA Forecast'!F163:I163</xm:f>
              <xm:sqref>J163</xm:sqref>
            </x14:sparkline>
            <x14:sparkline>
              <xm:f>'ULTA Forecast'!F164:I164</xm:f>
              <xm:sqref>J164</xm:sqref>
            </x14:sparkline>
            <x14:sparkline>
              <xm:f>'ULTA Forecast'!F165:I165</xm:f>
              <xm:sqref>J165</xm:sqref>
            </x14:sparkline>
            <x14:sparkline>
              <xm:f>'ULTA Forecast'!F166:I166</xm:f>
              <xm:sqref>J166</xm:sqref>
            </x14:sparkline>
            <x14:sparkline>
              <xm:f>'ULTA Forecast'!F167:I167</xm:f>
              <xm:sqref>J167</xm:sqref>
            </x14:sparkline>
            <x14:sparkline>
              <xm:f>'ULTA Forecast'!F168:I168</xm:f>
              <xm:sqref>J168</xm:sqref>
            </x14:sparkline>
          </x14:sparklines>
        </x14:sparklineGroup>
        <x14:sparklineGroup displayEmptyCellsAs="gap" xr2:uid="{4866000E-7A39-472C-8F0D-5617EFF4C2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'ULTA Forecast'!D48:I48</xm:f>
              <xm:sqref>J48</xm:sqref>
            </x14:sparkline>
            <x14:sparkline>
              <xm:f>'ULTA Forecast'!D49:I49</xm:f>
              <xm:sqref>J49</xm:sqref>
            </x14:sparkline>
            <x14:sparkline>
              <xm:f>'ULTA Forecast'!D50:I50</xm:f>
              <xm:sqref>J50</xm:sqref>
            </x14:sparkline>
            <x14:sparkline>
              <xm:f>'ULTA Forecast'!D51:I51</xm:f>
              <xm:sqref>J51</xm:sqref>
            </x14:sparkline>
            <x14:sparkline>
              <xm:f>'ULTA Forecast'!D52:I52</xm:f>
              <xm:sqref>J52</xm:sqref>
            </x14:sparkline>
            <x14:sparkline>
              <xm:f>'ULTA Forecast'!D53:I53</xm:f>
              <xm:sqref>J53</xm:sqref>
            </x14:sparkline>
            <x14:sparkline>
              <xm:f>'ULTA Forecast'!D54:I54</xm:f>
              <xm:sqref>J54</xm:sqref>
            </x14:sparkline>
            <x14:sparkline>
              <xm:f>'ULTA Forecast'!D55:I55</xm:f>
              <xm:sqref>J55</xm:sqref>
            </x14:sparkline>
            <x14:sparkline>
              <xm:f>'ULTA Forecast'!D56:I56</xm:f>
              <xm:sqref>J56</xm:sqref>
            </x14:sparkline>
            <x14:sparkline>
              <xm:f>'ULTA Forecast'!D57:I57</xm:f>
              <xm:sqref>J57</xm:sqref>
            </x14:sparkline>
            <x14:sparkline>
              <xm:f>'ULTA Forecast'!D58:I58</xm:f>
              <xm:sqref>J58</xm:sqref>
            </x14:sparkline>
            <x14:sparkline>
              <xm:f>'ULTA Forecast'!D59:I59</xm:f>
              <xm:sqref>J59</xm:sqref>
            </x14:sparkline>
            <x14:sparkline>
              <xm:f>'ULTA Forecast'!D60:I60</xm:f>
              <xm:sqref>J60</xm:sqref>
            </x14:sparkline>
            <x14:sparkline>
              <xm:f>'ULTA Forecast'!D61:I61</xm:f>
              <xm:sqref>J61</xm:sqref>
            </x14:sparkline>
            <x14:sparkline>
              <xm:f>'ULTA Forecast'!D62:I62</xm:f>
              <xm:sqref>J62</xm:sqref>
            </x14:sparkline>
            <x14:sparkline>
              <xm:f>'ULTA Forecast'!D63:I63</xm:f>
              <xm:sqref>J63</xm:sqref>
            </x14:sparkline>
            <x14:sparkline>
              <xm:f>'ULTA Forecast'!D64:I64</xm:f>
              <xm:sqref>J64</xm:sqref>
            </x14:sparkline>
            <x14:sparkline>
              <xm:f>'ULTA Forecast'!D65:I65</xm:f>
              <xm:sqref>J65</xm:sqref>
            </x14:sparkline>
            <x14:sparkline>
              <xm:f>'ULTA Forecast'!D66:I66</xm:f>
              <xm:sqref>J66</xm:sqref>
            </x14:sparkline>
            <x14:sparkline>
              <xm:f>'ULTA Forecast'!D67:I67</xm:f>
              <xm:sqref>J67</xm:sqref>
            </x14:sparkline>
            <x14:sparkline>
              <xm:f>'ULTA Forecast'!D68:I68</xm:f>
              <xm:sqref>J68</xm:sqref>
            </x14:sparkline>
            <x14:sparkline>
              <xm:f>'ULTA Forecast'!D69:I69</xm:f>
              <xm:sqref>J69</xm:sqref>
            </x14:sparkline>
            <x14:sparkline>
              <xm:f>'ULTA Forecast'!D70:I70</xm:f>
              <xm:sqref>J70</xm:sqref>
            </x14:sparkline>
            <x14:sparkline>
              <xm:f>'ULTA Forecast'!D71:I71</xm:f>
              <xm:sqref>J71</xm:sqref>
            </x14:sparkline>
            <x14:sparkline>
              <xm:f>'ULTA Forecast'!D72:I72</xm:f>
              <xm:sqref>J72</xm:sqref>
            </x14:sparkline>
            <x14:sparkline>
              <xm:f>'ULTA Forecast'!D73:I73</xm:f>
              <xm:sqref>J73</xm:sqref>
            </x14:sparkline>
            <x14:sparkline>
              <xm:f>'ULTA Forecast'!D74:I74</xm:f>
              <xm:sqref>J74</xm:sqref>
            </x14:sparkline>
            <x14:sparkline>
              <xm:f>'ULTA Forecast'!D75:I75</xm:f>
              <xm:sqref>J75</xm:sqref>
            </x14:sparkline>
            <x14:sparkline>
              <xm:f>'ULTA Forecast'!D76:I76</xm:f>
              <xm:sqref>J76</xm:sqref>
            </x14:sparkline>
            <x14:sparkline>
              <xm:f>'ULTA Forecast'!D77:I77</xm:f>
              <xm:sqref>J77</xm:sqref>
            </x14:sparkline>
            <x14:sparkline>
              <xm:f>'ULTA Forecast'!D78:I78</xm:f>
              <xm:sqref>J78</xm:sqref>
            </x14:sparkline>
            <x14:sparkline>
              <xm:f>'ULTA Forecast'!D79:I79</xm:f>
              <xm:sqref>J79</xm:sqref>
            </x14:sparkline>
            <x14:sparkline>
              <xm:f>'ULTA Forecast'!D80:I80</xm:f>
              <xm:sqref>J80</xm:sqref>
            </x14:sparkline>
            <x14:sparkline>
              <xm:f>'ULTA Forecast'!D81:I81</xm:f>
              <xm:sqref>J81</xm:sqref>
            </x14:sparkline>
            <x14:sparkline>
              <xm:f>'ULTA Forecast'!D82:I82</xm:f>
              <xm:sqref>J82</xm:sqref>
            </x14:sparkline>
            <x14:sparkline>
              <xm:f>'ULTA Forecast'!D83:I83</xm:f>
              <xm:sqref>J83</xm:sqref>
            </x14:sparkline>
            <x14:sparkline>
              <xm:f>'ULTA Forecast'!D84:I84</xm:f>
              <xm:sqref>J84</xm:sqref>
            </x14:sparkline>
            <x14:sparkline>
              <xm:f>'ULTA Forecast'!D85:I85</xm:f>
              <xm:sqref>J85</xm:sqref>
            </x14:sparkline>
            <x14:sparkline>
              <xm:f>'ULTA Forecast'!D86:I86</xm:f>
              <xm:sqref>J86</xm:sqref>
            </x14:sparkline>
            <x14:sparkline>
              <xm:f>'ULTA Forecast'!D87:I87</xm:f>
              <xm:sqref>J87</xm:sqref>
            </x14:sparkline>
            <x14:sparkline>
              <xm:f>'ULTA Forecast'!D88:I88</xm:f>
              <xm:sqref>J88</xm:sqref>
            </x14:sparkline>
            <x14:sparkline>
              <xm:f>'ULTA Forecast'!D89:I89</xm:f>
              <xm:sqref>J89</xm:sqref>
            </x14:sparkline>
            <x14:sparkline>
              <xm:f>'ULTA Forecast'!D90:I90</xm:f>
              <xm:sqref>J90</xm:sqref>
            </x14:sparkline>
            <x14:sparkline>
              <xm:f>'ULTA Forecast'!D91:I91</xm:f>
              <xm:sqref>J91</xm:sqref>
            </x14:sparkline>
            <x14:sparkline>
              <xm:f>'ULTA Forecast'!D92:I92</xm:f>
              <xm:sqref>J92</xm:sqref>
            </x14:sparkline>
            <x14:sparkline>
              <xm:f>'ULTA Forecast'!D93:I93</xm:f>
              <xm:sqref>J93</xm:sqref>
            </x14:sparkline>
            <x14:sparkline>
              <xm:f>'ULTA Forecast'!D94:I94</xm:f>
              <xm:sqref>J94</xm:sqref>
            </x14:sparkline>
            <x14:sparkline>
              <xm:f>'ULTA Forecast'!D95:I95</xm:f>
              <xm:sqref>J95</xm:sqref>
            </x14:sparkline>
            <x14:sparkline>
              <xm:f>'ULTA Forecast'!D96:I96</xm:f>
              <xm:sqref>J96</xm:sqref>
            </x14:sparkline>
            <x14:sparkline>
              <xm:f>'ULTA Forecast'!D97:I97</xm:f>
              <xm:sqref>J97</xm:sqref>
            </x14:sparkline>
            <x14:sparkline>
              <xm:f>'ULTA Forecast'!D98:I98</xm:f>
              <xm:sqref>J98</xm:sqref>
            </x14:sparkline>
          </x14:sparklines>
        </x14:sparklineGroup>
        <x14:sparklineGroup displayEmptyCellsAs="gap" xr2:uid="{4CC0B71D-D8CE-4343-AAB1-00310C2393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'ULTA Forecast'!D10:I10</xm:f>
              <xm:sqref>J10</xm:sqref>
            </x14:sparkline>
            <x14:sparkline>
              <xm:f>'ULTA Forecast'!D11:I11</xm:f>
              <xm:sqref>J11</xm:sqref>
            </x14:sparkline>
            <x14:sparkline>
              <xm:f>'ULTA Forecast'!D12:I12</xm:f>
              <xm:sqref>J12</xm:sqref>
            </x14:sparkline>
            <x14:sparkline>
              <xm:f>'ULTA Forecast'!D13:I13</xm:f>
              <xm:sqref>J13</xm:sqref>
            </x14:sparkline>
            <x14:sparkline>
              <xm:f>'ULTA Forecast'!D14:I14</xm:f>
              <xm:sqref>J14</xm:sqref>
            </x14:sparkline>
            <x14:sparkline>
              <xm:f>'ULTA Forecast'!D15:I15</xm:f>
              <xm:sqref>J15</xm:sqref>
            </x14:sparkline>
          </x14:sparklines>
        </x14:sparklineGroup>
        <x14:sparklineGroup displayEmptyCellsAs="gap" xr2:uid="{10E0383F-2B86-4B19-960C-887EC441FC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'ULTA Forecast'!D17:I17</xm:f>
              <xm:sqref>J17</xm:sqref>
            </x14:sparkline>
            <x14:sparkline>
              <xm:f>'ULTA Forecast'!D18:I18</xm:f>
              <xm:sqref>J18</xm:sqref>
            </x14:sparkline>
            <x14:sparkline>
              <xm:f>'ULTA Forecast'!D19:I19</xm:f>
              <xm:sqref>J19</xm:sqref>
            </x14:sparkline>
            <x14:sparkline>
              <xm:f>'ULTA Forecast'!D20:I20</xm:f>
              <xm:sqref>J20</xm:sqref>
            </x14:sparkline>
            <x14:sparkline>
              <xm:f>'ULTA Forecast'!D21:I21</xm:f>
              <xm:sqref>J21</xm:sqref>
            </x14:sparkline>
            <x14:sparkline>
              <xm:f>'ULTA Forecast'!D22:I22</xm:f>
              <xm:sqref>J22</xm:sqref>
            </x14:sparkline>
            <x14:sparkline>
              <xm:f>'ULTA Forecast'!D23:I23</xm:f>
              <xm:sqref>J23</xm:sqref>
            </x14:sparkline>
            <x14:sparkline>
              <xm:f>'ULTA Forecast'!D24:I24</xm:f>
              <xm:sqref>J24</xm:sqref>
            </x14:sparkline>
            <x14:sparkline>
              <xm:f>'ULTA Forecast'!D25:I25</xm:f>
              <xm:sqref>J25</xm:sqref>
            </x14:sparkline>
            <x14:sparkline>
              <xm:f>'ULTA Forecast'!D26:I26</xm:f>
              <xm:sqref>J26</xm:sqref>
            </x14:sparkline>
            <x14:sparkline>
              <xm:f>'ULTA Forecast'!D27:I27</xm:f>
              <xm:sqref>J27</xm:sqref>
            </x14:sparkline>
            <x14:sparkline>
              <xm:f>'ULTA Forecast'!D28:I28</xm:f>
              <xm:sqref>J28</xm:sqref>
            </x14:sparkline>
            <x14:sparkline>
              <xm:f>'ULTA Forecast'!D29:I29</xm:f>
              <xm:sqref>J29</xm:sqref>
            </x14:sparkline>
            <x14:sparkline>
              <xm:f>'ULTA Forecast'!D30:I30</xm:f>
              <xm:sqref>J30</xm:sqref>
            </x14:sparkline>
            <x14:sparkline>
              <xm:f>'ULTA Forecast'!D31:I31</xm:f>
              <xm:sqref>J31</xm:sqref>
            </x14:sparkline>
            <x14:sparkline>
              <xm:f>'ULTA Forecast'!D32:I32</xm:f>
              <xm:sqref>J32</xm:sqref>
            </x14:sparkline>
            <x14:sparkline>
              <xm:f>'ULTA Forecast'!D33:I33</xm:f>
              <xm:sqref>J33</xm:sqref>
            </x14:sparkline>
            <x14:sparkline>
              <xm:f>'ULTA Forecast'!D34:I34</xm:f>
              <xm:sqref>J34</xm:sqref>
            </x14:sparkline>
            <x14:sparkline>
              <xm:f>'ULTA Forecast'!D35:I35</xm:f>
              <xm:sqref>J35</xm:sqref>
            </x14:sparkline>
            <x14:sparkline>
              <xm:f>'ULTA Forecast'!D36:I36</xm:f>
              <xm:sqref>J36</xm:sqref>
            </x14:sparkline>
            <x14:sparkline>
              <xm:f>'ULTA Forecast'!D37:I37</xm:f>
              <xm:sqref>J37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3921-357B-48A7-9AA1-070D4984F773}">
  <sheetPr>
    <tabColor theme="5" tint="-0.249977111117893"/>
  </sheetPr>
  <dimension ref="A2:H89"/>
  <sheetViews>
    <sheetView topLeftCell="A24" zoomScale="57" zoomScaleNormal="86" workbookViewId="0">
      <selection activeCell="B45" sqref="B45"/>
    </sheetView>
  </sheetViews>
  <sheetFormatPr defaultRowHeight="14" x14ac:dyDescent="0.3"/>
  <cols>
    <col min="1" max="1" width="11.453125" customWidth="1"/>
    <col min="2" max="2" width="17" customWidth="1"/>
    <col min="3" max="3" width="16.08984375" customWidth="1"/>
    <col min="4" max="4" width="16.90625" customWidth="1"/>
  </cols>
  <sheetData>
    <row r="2" spans="1:8" ht="22.5" x14ac:dyDescent="0.45">
      <c r="A2" s="124" t="s">
        <v>207</v>
      </c>
    </row>
    <row r="4" spans="1:8" ht="14.5" thickBot="1" x14ac:dyDescent="0.35">
      <c r="A4" s="134" t="s">
        <v>114</v>
      </c>
      <c r="B4" s="134" t="s">
        <v>0</v>
      </c>
      <c r="C4" s="134" t="s">
        <v>43</v>
      </c>
      <c r="D4" s="134" t="s">
        <v>44</v>
      </c>
      <c r="H4" s="11" t="str">
        <f>"Apple Quarterly Sales"&amp;CHAR(10)&amp;" "&amp;TEXT(B5,"mmm yyyy")&amp;" to "&amp;TEXT(B86,"mmm yyyy")</f>
        <v>Apple Quarterly Sales
 Apr 2005 to Aug 2025</v>
      </c>
    </row>
    <row r="5" spans="1:8" x14ac:dyDescent="0.3">
      <c r="A5" s="18" t="s">
        <v>125</v>
      </c>
      <c r="B5" s="131">
        <v>38472</v>
      </c>
      <c r="C5" s="135">
        <v>144769</v>
      </c>
    </row>
    <row r="6" spans="1:8" x14ac:dyDescent="0.3">
      <c r="A6" s="18" t="s">
        <v>126</v>
      </c>
      <c r="B6" s="131">
        <v>38564</v>
      </c>
      <c r="C6" s="135">
        <v>144769</v>
      </c>
    </row>
    <row r="7" spans="1:8" x14ac:dyDescent="0.3">
      <c r="A7" s="18" t="s">
        <v>127</v>
      </c>
      <c r="B7" s="131">
        <v>38656</v>
      </c>
      <c r="C7" s="135">
        <v>144769</v>
      </c>
    </row>
    <row r="8" spans="1:8" x14ac:dyDescent="0.3">
      <c r="A8" s="132" t="s">
        <v>128</v>
      </c>
      <c r="B8" s="133">
        <v>38748</v>
      </c>
      <c r="C8" s="136">
        <v>144768</v>
      </c>
      <c r="D8" s="137">
        <f>SUM(C5:C8)</f>
        <v>579075</v>
      </c>
    </row>
    <row r="9" spans="1:8" x14ac:dyDescent="0.3">
      <c r="A9" s="18" t="s">
        <v>129</v>
      </c>
      <c r="B9" s="131">
        <v>38837</v>
      </c>
      <c r="C9" s="135">
        <v>159468</v>
      </c>
    </row>
    <row r="10" spans="1:8" x14ac:dyDescent="0.3">
      <c r="A10" s="18" t="s">
        <v>130</v>
      </c>
      <c r="B10" s="131">
        <v>38929</v>
      </c>
      <c r="C10" s="135">
        <v>162558</v>
      </c>
    </row>
    <row r="11" spans="1:8" x14ac:dyDescent="0.3">
      <c r="A11" s="18" t="s">
        <v>131</v>
      </c>
      <c r="B11" s="131">
        <v>39021</v>
      </c>
      <c r="C11" s="135">
        <v>216544</v>
      </c>
    </row>
    <row r="12" spans="1:8" x14ac:dyDescent="0.3">
      <c r="A12" s="132" t="s">
        <v>132</v>
      </c>
      <c r="B12" s="133">
        <v>39113</v>
      </c>
      <c r="C12" s="136">
        <v>216543</v>
      </c>
      <c r="D12" s="137">
        <f>SUM(C9:C12)</f>
        <v>755113</v>
      </c>
    </row>
    <row r="13" spans="1:8" x14ac:dyDescent="0.3">
      <c r="A13" s="18" t="s">
        <v>133</v>
      </c>
      <c r="B13" s="131">
        <v>39202</v>
      </c>
      <c r="C13" s="135">
        <v>194113</v>
      </c>
    </row>
    <row r="14" spans="1:8" ht="22.5" x14ac:dyDescent="0.45">
      <c r="A14" s="18" t="s">
        <v>134</v>
      </c>
      <c r="B14" s="131">
        <v>39293</v>
      </c>
      <c r="C14" s="135">
        <v>200449</v>
      </c>
      <c r="E14" s="124"/>
    </row>
    <row r="15" spans="1:8" x14ac:dyDescent="0.3">
      <c r="A15" s="18" t="s">
        <v>135</v>
      </c>
      <c r="B15" s="131">
        <v>39386</v>
      </c>
      <c r="C15" s="135">
        <v>208235</v>
      </c>
    </row>
    <row r="16" spans="1:8" x14ac:dyDescent="0.3">
      <c r="A16" s="132" t="s">
        <v>136</v>
      </c>
      <c r="B16" s="133">
        <v>39478</v>
      </c>
      <c r="C16" s="136">
        <v>309344</v>
      </c>
      <c r="D16" s="137">
        <f>SUM(C13:C16)</f>
        <v>912141</v>
      </c>
    </row>
    <row r="17" spans="1:8" x14ac:dyDescent="0.3">
      <c r="A17" s="18" t="s">
        <v>137</v>
      </c>
      <c r="B17" s="131">
        <v>39568</v>
      </c>
      <c r="C17" s="135">
        <v>239298</v>
      </c>
    </row>
    <row r="18" spans="1:8" x14ac:dyDescent="0.3">
      <c r="A18" s="18" t="s">
        <v>138</v>
      </c>
      <c r="B18" s="131">
        <v>39660</v>
      </c>
      <c r="C18" s="135">
        <v>249111</v>
      </c>
    </row>
    <row r="19" spans="1:8" x14ac:dyDescent="0.3">
      <c r="A19" s="18" t="s">
        <v>139</v>
      </c>
      <c r="B19" s="131">
        <v>39752</v>
      </c>
      <c r="C19" s="135">
        <v>254843</v>
      </c>
    </row>
    <row r="20" spans="1:8" x14ac:dyDescent="0.3">
      <c r="A20" s="132" t="s">
        <v>140</v>
      </c>
      <c r="B20" s="133">
        <v>39844</v>
      </c>
      <c r="C20" s="136">
        <v>341394</v>
      </c>
      <c r="D20" s="137">
        <f>SUM(C17:C20)</f>
        <v>1084646</v>
      </c>
    </row>
    <row r="21" spans="1:8" x14ac:dyDescent="0.3">
      <c r="A21" s="18" t="s">
        <v>141</v>
      </c>
      <c r="B21" s="131">
        <v>39933</v>
      </c>
      <c r="C21" s="135">
        <v>268825</v>
      </c>
    </row>
    <row r="22" spans="1:8" x14ac:dyDescent="0.3">
      <c r="A22" s="18" t="s">
        <v>142</v>
      </c>
      <c r="B22" s="131">
        <v>40025</v>
      </c>
      <c r="C22" s="135">
        <v>273539</v>
      </c>
    </row>
    <row r="23" spans="1:8" x14ac:dyDescent="0.3">
      <c r="A23" s="18" t="s">
        <v>143</v>
      </c>
      <c r="B23" s="131">
        <v>40117</v>
      </c>
      <c r="C23" s="135">
        <v>284043</v>
      </c>
    </row>
    <row r="24" spans="1:8" x14ac:dyDescent="0.3">
      <c r="A24" s="132" t="s">
        <v>144</v>
      </c>
      <c r="B24" s="133">
        <v>40209</v>
      </c>
      <c r="C24" s="136">
        <v>396364</v>
      </c>
      <c r="D24" s="137">
        <f>SUM(C21:C24)</f>
        <v>1222771</v>
      </c>
    </row>
    <row r="25" spans="1:8" x14ac:dyDescent="0.3">
      <c r="A25" s="18" t="s">
        <v>145</v>
      </c>
      <c r="B25" s="131">
        <v>40298</v>
      </c>
      <c r="C25" s="135">
        <v>320196</v>
      </c>
    </row>
    <row r="26" spans="1:8" x14ac:dyDescent="0.3">
      <c r="A26" s="18" t="s">
        <v>146</v>
      </c>
      <c r="B26" s="131">
        <v>40390</v>
      </c>
      <c r="C26" s="135">
        <v>321804</v>
      </c>
    </row>
    <row r="27" spans="1:8" x14ac:dyDescent="0.3">
      <c r="A27" s="18" t="s">
        <v>147</v>
      </c>
      <c r="B27" s="131">
        <v>40482</v>
      </c>
      <c r="C27" s="135">
        <v>339179</v>
      </c>
    </row>
    <row r="28" spans="1:8" x14ac:dyDescent="0.3">
      <c r="A28" s="132" t="s">
        <v>148</v>
      </c>
      <c r="B28" s="133">
        <v>40574</v>
      </c>
      <c r="C28" s="136">
        <v>473659</v>
      </c>
      <c r="D28" s="137">
        <f>SUM(C25:C28)</f>
        <v>1454838</v>
      </c>
    </row>
    <row r="29" spans="1:8" x14ac:dyDescent="0.3">
      <c r="A29" s="18" t="s">
        <v>149</v>
      </c>
      <c r="B29" s="131">
        <v>40663</v>
      </c>
      <c r="C29" s="135">
        <v>386006</v>
      </c>
      <c r="H29" s="11" t="str">
        <f>"ULTA Yearly Sales"&amp;CHAR(10)&amp;" "&amp;TEXT(B30,"mmm yyyy")&amp;" to "&amp;TEXT(B112,"mmm yyyy")</f>
        <v>ULTA Yearly Sales
 Jul 2011 to Jan 1900</v>
      </c>
    </row>
    <row r="30" spans="1:8" x14ac:dyDescent="0.3">
      <c r="A30" s="18" t="s">
        <v>150</v>
      </c>
      <c r="B30" s="131">
        <v>40755</v>
      </c>
      <c r="C30" s="135">
        <v>394567</v>
      </c>
    </row>
    <row r="31" spans="1:8" x14ac:dyDescent="0.3">
      <c r="A31" s="18" t="s">
        <v>151</v>
      </c>
      <c r="B31" s="131">
        <v>40847</v>
      </c>
      <c r="C31" s="135">
        <v>413067</v>
      </c>
    </row>
    <row r="32" spans="1:8" x14ac:dyDescent="0.3">
      <c r="A32" s="132" t="s">
        <v>152</v>
      </c>
      <c r="B32" s="133">
        <v>40939</v>
      </c>
      <c r="C32" s="136">
        <v>582511</v>
      </c>
      <c r="D32" s="137">
        <f>SUM(C29:C32)</f>
        <v>1776151</v>
      </c>
    </row>
    <row r="33" spans="1:4" x14ac:dyDescent="0.3">
      <c r="A33" s="18" t="s">
        <v>153</v>
      </c>
      <c r="B33" s="131">
        <v>41029</v>
      </c>
      <c r="C33" s="135">
        <v>474098</v>
      </c>
    </row>
    <row r="34" spans="1:4" x14ac:dyDescent="0.3">
      <c r="A34" s="18" t="s">
        <v>154</v>
      </c>
      <c r="B34" s="131">
        <v>41121</v>
      </c>
      <c r="C34" s="135">
        <v>481683</v>
      </c>
    </row>
    <row r="35" spans="1:4" x14ac:dyDescent="0.3">
      <c r="A35" s="18" t="s">
        <v>155</v>
      </c>
      <c r="B35" s="131">
        <v>41213</v>
      </c>
      <c r="C35" s="135">
        <v>505640</v>
      </c>
    </row>
    <row r="36" spans="1:4" x14ac:dyDescent="0.3">
      <c r="A36" s="132" t="s">
        <v>156</v>
      </c>
      <c r="B36" s="133">
        <v>41365</v>
      </c>
      <c r="C36" s="136">
        <v>758835</v>
      </c>
      <c r="D36" s="137">
        <f>SUM(C33:C36)</f>
        <v>2220256</v>
      </c>
    </row>
    <row r="37" spans="1:4" x14ac:dyDescent="0.3">
      <c r="A37" s="18" t="s">
        <v>157</v>
      </c>
      <c r="B37" s="131">
        <v>41435</v>
      </c>
      <c r="C37" s="135">
        <v>582712</v>
      </c>
    </row>
    <row r="38" spans="1:4" x14ac:dyDescent="0.3">
      <c r="A38" s="18" t="s">
        <v>158</v>
      </c>
      <c r="B38" s="131">
        <v>41528</v>
      </c>
      <c r="C38" s="143">
        <v>600998</v>
      </c>
    </row>
    <row r="39" spans="1:4" x14ac:dyDescent="0.3">
      <c r="A39" s="18" t="s">
        <v>159</v>
      </c>
      <c r="B39" s="131">
        <v>41612</v>
      </c>
      <c r="C39" s="135">
        <v>618781</v>
      </c>
    </row>
    <row r="40" spans="1:4" x14ac:dyDescent="0.3">
      <c r="A40" s="132" t="s">
        <v>160</v>
      </c>
      <c r="B40" s="133">
        <v>41728</v>
      </c>
      <c r="C40" s="136">
        <v>868082</v>
      </c>
      <c r="D40" s="137">
        <f>SUM(C37:C40)</f>
        <v>2670573</v>
      </c>
    </row>
    <row r="41" spans="1:4" x14ac:dyDescent="0.3">
      <c r="A41" s="18" t="s">
        <v>161</v>
      </c>
      <c r="B41" s="131">
        <v>41794</v>
      </c>
      <c r="C41" s="135">
        <v>713770</v>
      </c>
    </row>
    <row r="42" spans="1:4" x14ac:dyDescent="0.3">
      <c r="A42" s="18" t="s">
        <v>162</v>
      </c>
      <c r="B42" s="131">
        <v>41823</v>
      </c>
      <c r="C42" s="135">
        <v>734236</v>
      </c>
    </row>
    <row r="43" spans="1:4" x14ac:dyDescent="0.3">
      <c r="A43" s="18" t="s">
        <v>163</v>
      </c>
      <c r="B43" s="131">
        <v>41976</v>
      </c>
      <c r="C43" s="135">
        <v>745722</v>
      </c>
    </row>
    <row r="44" spans="1:4" x14ac:dyDescent="0.3">
      <c r="A44" s="132" t="s">
        <v>164</v>
      </c>
      <c r="B44" s="133">
        <v>42091</v>
      </c>
      <c r="C44" s="136">
        <v>1047641</v>
      </c>
      <c r="D44" s="137">
        <f>SUM(C41:C44)</f>
        <v>3241369</v>
      </c>
    </row>
    <row r="45" spans="1:4" x14ac:dyDescent="0.3">
      <c r="A45" s="18" t="s">
        <v>165</v>
      </c>
      <c r="B45" s="131">
        <v>42157</v>
      </c>
      <c r="C45" s="135">
        <v>868122</v>
      </c>
    </row>
    <row r="46" spans="1:4" x14ac:dyDescent="0.3">
      <c r="A46" s="18" t="s">
        <v>166</v>
      </c>
      <c r="B46" s="131">
        <v>42241</v>
      </c>
      <c r="C46" s="135">
        <v>876999</v>
      </c>
    </row>
    <row r="47" spans="1:4" x14ac:dyDescent="0.3">
      <c r="A47" s="18" t="s">
        <v>167</v>
      </c>
      <c r="B47" s="131">
        <v>42339</v>
      </c>
      <c r="C47" s="135">
        <v>910700</v>
      </c>
    </row>
    <row r="48" spans="1:4" x14ac:dyDescent="0.3">
      <c r="A48" s="132" t="s">
        <v>168</v>
      </c>
      <c r="B48" s="133">
        <v>42463</v>
      </c>
      <c r="C48" s="136">
        <v>1268295</v>
      </c>
      <c r="D48" s="137">
        <f>SUM(C45:C48)</f>
        <v>3924116</v>
      </c>
    </row>
    <row r="49" spans="1:4" x14ac:dyDescent="0.3">
      <c r="A49" s="18" t="s">
        <v>169</v>
      </c>
      <c r="B49" s="131">
        <v>42522</v>
      </c>
      <c r="C49" s="135">
        <v>1073716</v>
      </c>
    </row>
    <row r="50" spans="1:4" x14ac:dyDescent="0.3">
      <c r="A50" s="18" t="s">
        <v>170</v>
      </c>
      <c r="B50" s="131">
        <v>42613</v>
      </c>
      <c r="C50" s="135">
        <v>1069215</v>
      </c>
    </row>
    <row r="51" spans="1:4" x14ac:dyDescent="0.3">
      <c r="A51" s="18" t="s">
        <v>171</v>
      </c>
      <c r="B51" s="131">
        <v>42704</v>
      </c>
      <c r="C51" s="135">
        <v>1131232</v>
      </c>
    </row>
    <row r="52" spans="1:4" x14ac:dyDescent="0.3">
      <c r="A52" s="132" t="s">
        <v>172</v>
      </c>
      <c r="B52" s="133">
        <v>42827</v>
      </c>
      <c r="C52" s="136">
        <v>1580574</v>
      </c>
      <c r="D52" s="137">
        <f>SUM(C49:C52)</f>
        <v>4854737</v>
      </c>
    </row>
    <row r="53" spans="1:4" x14ac:dyDescent="0.3">
      <c r="A53" s="18" t="s">
        <v>173</v>
      </c>
      <c r="B53" s="131">
        <v>42887</v>
      </c>
      <c r="C53" s="135">
        <v>1314879</v>
      </c>
    </row>
    <row r="54" spans="1:4" x14ac:dyDescent="0.3">
      <c r="A54" s="18" t="s">
        <v>174</v>
      </c>
      <c r="B54" s="131">
        <v>42977</v>
      </c>
      <c r="C54" s="135">
        <v>1289854</v>
      </c>
    </row>
    <row r="55" spans="1:4" x14ac:dyDescent="0.3">
      <c r="A55" s="18" t="s">
        <v>175</v>
      </c>
      <c r="B55" s="131">
        <v>43075</v>
      </c>
      <c r="C55" s="135">
        <v>1342181</v>
      </c>
    </row>
    <row r="56" spans="1:4" x14ac:dyDescent="0.3">
      <c r="A56" s="132" t="s">
        <v>176</v>
      </c>
      <c r="B56" s="133">
        <v>43186</v>
      </c>
      <c r="C56" s="136">
        <v>1937592</v>
      </c>
      <c r="D56" s="137">
        <f>SUM(C53:C56)</f>
        <v>5884506</v>
      </c>
    </row>
    <row r="57" spans="1:4" x14ac:dyDescent="0.3">
      <c r="A57" s="18" t="s">
        <v>177</v>
      </c>
      <c r="B57" s="131">
        <v>43250</v>
      </c>
      <c r="C57" s="135">
        <v>1543667</v>
      </c>
    </row>
    <row r="58" spans="1:4" x14ac:dyDescent="0.3">
      <c r="A58" s="18" t="s">
        <v>178</v>
      </c>
      <c r="B58" s="131">
        <v>43341</v>
      </c>
      <c r="C58" s="135">
        <v>1488221</v>
      </c>
    </row>
    <row r="59" spans="1:4" x14ac:dyDescent="0.3">
      <c r="A59" s="18" t="s">
        <v>179</v>
      </c>
      <c r="B59" s="131">
        <v>43439</v>
      </c>
      <c r="C59" s="135">
        <v>1560011</v>
      </c>
    </row>
    <row r="60" spans="1:4" x14ac:dyDescent="0.3">
      <c r="A60" s="132" t="s">
        <v>180</v>
      </c>
      <c r="B60" s="133">
        <v>43550</v>
      </c>
      <c r="C60" s="136">
        <v>2124716</v>
      </c>
      <c r="D60" s="137">
        <f>SUM(C57:C60)</f>
        <v>6716615</v>
      </c>
    </row>
    <row r="61" spans="1:4" x14ac:dyDescent="0.3">
      <c r="A61" s="18" t="s">
        <v>181</v>
      </c>
      <c r="B61" s="131">
        <v>43613</v>
      </c>
      <c r="C61" s="135">
        <v>1743029</v>
      </c>
    </row>
    <row r="62" spans="1:4" x14ac:dyDescent="0.3">
      <c r="A62" s="18" t="s">
        <v>182</v>
      </c>
      <c r="B62" s="131">
        <v>43704</v>
      </c>
      <c r="C62" s="135">
        <v>1666607</v>
      </c>
    </row>
    <row r="63" spans="1:4" x14ac:dyDescent="0.3">
      <c r="A63" s="18" t="s">
        <v>183</v>
      </c>
      <c r="B63" s="131">
        <v>43802</v>
      </c>
      <c r="C63" s="135">
        <v>1682514</v>
      </c>
    </row>
    <row r="64" spans="1:4" x14ac:dyDescent="0.3">
      <c r="A64" s="132" t="s">
        <v>184</v>
      </c>
      <c r="B64" s="133">
        <v>43915</v>
      </c>
      <c r="C64" s="136">
        <v>2305918</v>
      </c>
      <c r="D64" s="137">
        <f>SUM(C61:C64)</f>
        <v>7398068</v>
      </c>
    </row>
    <row r="65" spans="1:4" x14ac:dyDescent="0.3">
      <c r="A65" s="18" t="s">
        <v>185</v>
      </c>
      <c r="B65" s="131">
        <v>43978</v>
      </c>
      <c r="C65" s="135">
        <v>1173210</v>
      </c>
    </row>
    <row r="66" spans="1:4" x14ac:dyDescent="0.3">
      <c r="A66" s="18" t="s">
        <v>186</v>
      </c>
      <c r="B66" s="131">
        <v>44068</v>
      </c>
      <c r="C66" s="135">
        <v>1228009</v>
      </c>
    </row>
    <row r="67" spans="1:4" x14ac:dyDescent="0.3">
      <c r="A67" s="18" t="s">
        <v>187</v>
      </c>
      <c r="B67" s="131">
        <v>44167</v>
      </c>
      <c r="C67" s="135">
        <v>1552033</v>
      </c>
    </row>
    <row r="68" spans="1:4" x14ac:dyDescent="0.3">
      <c r="A68" s="132" t="s">
        <v>188</v>
      </c>
      <c r="B68" s="133">
        <v>44279</v>
      </c>
      <c r="C68" s="136">
        <v>2198701</v>
      </c>
      <c r="D68" s="137">
        <f>SUM(C65:C68)</f>
        <v>6151953</v>
      </c>
    </row>
    <row r="69" spans="1:4" x14ac:dyDescent="0.3">
      <c r="A69" s="18" t="s">
        <v>189</v>
      </c>
      <c r="B69" s="131">
        <v>44342</v>
      </c>
      <c r="C69" s="135">
        <v>1938519</v>
      </c>
    </row>
    <row r="70" spans="1:4" x14ac:dyDescent="0.3">
      <c r="A70" s="18" t="s">
        <v>190</v>
      </c>
      <c r="B70" s="131">
        <v>44433</v>
      </c>
      <c r="C70" s="135">
        <v>1967207</v>
      </c>
    </row>
    <row r="71" spans="1:4" x14ac:dyDescent="0.3">
      <c r="A71" s="18" t="s">
        <v>191</v>
      </c>
      <c r="B71" s="131">
        <v>44531</v>
      </c>
      <c r="C71" s="135">
        <v>1995775</v>
      </c>
    </row>
    <row r="72" spans="1:4" x14ac:dyDescent="0.3">
      <c r="A72" s="132" t="s">
        <v>192</v>
      </c>
      <c r="B72" s="133">
        <v>44646</v>
      </c>
      <c r="C72" s="136">
        <v>2729388</v>
      </c>
      <c r="D72" s="137">
        <f>SUM(C69:C72)</f>
        <v>8630889</v>
      </c>
    </row>
    <row r="73" spans="1:4" x14ac:dyDescent="0.3">
      <c r="A73" s="18" t="s">
        <v>193</v>
      </c>
      <c r="B73" s="131">
        <v>44706</v>
      </c>
      <c r="C73" s="135">
        <v>2345901</v>
      </c>
    </row>
    <row r="74" spans="1:4" x14ac:dyDescent="0.3">
      <c r="A74" s="18" t="s">
        <v>194</v>
      </c>
      <c r="B74" s="131">
        <v>44797</v>
      </c>
      <c r="C74" s="135">
        <v>2297113</v>
      </c>
    </row>
    <row r="75" spans="1:4" x14ac:dyDescent="0.3">
      <c r="A75" s="18" t="s">
        <v>195</v>
      </c>
      <c r="B75" s="131">
        <v>44895</v>
      </c>
      <c r="C75" s="135">
        <v>2338793</v>
      </c>
    </row>
    <row r="76" spans="1:4" x14ac:dyDescent="0.3">
      <c r="A76" s="132" t="s">
        <v>196</v>
      </c>
      <c r="B76" s="133">
        <v>45012</v>
      </c>
      <c r="C76" s="136">
        <v>3226773</v>
      </c>
      <c r="D76" s="137">
        <f>SUM(C73:C76)</f>
        <v>10208580</v>
      </c>
    </row>
    <row r="77" spans="1:4" x14ac:dyDescent="0.3">
      <c r="A77" s="18" t="s">
        <v>197</v>
      </c>
      <c r="B77" s="131">
        <v>45076</v>
      </c>
      <c r="C77" s="135">
        <v>2634263</v>
      </c>
    </row>
    <row r="78" spans="1:4" x14ac:dyDescent="0.3">
      <c r="A78" s="18" t="s">
        <v>198</v>
      </c>
      <c r="B78" s="131">
        <v>45167</v>
      </c>
      <c r="C78" s="135">
        <v>2529809</v>
      </c>
    </row>
    <row r="79" spans="1:4" x14ac:dyDescent="0.3">
      <c r="A79" s="18" t="s">
        <v>199</v>
      </c>
      <c r="B79" s="131">
        <v>45265</v>
      </c>
      <c r="C79" s="135">
        <v>2488933</v>
      </c>
    </row>
    <row r="80" spans="1:4" x14ac:dyDescent="0.3">
      <c r="A80" s="132" t="s">
        <v>200</v>
      </c>
      <c r="B80" s="133">
        <v>45378</v>
      </c>
      <c r="C80" s="136">
        <v>3554298</v>
      </c>
      <c r="D80" s="137">
        <f>SUM(C77:C80)</f>
        <v>11207303</v>
      </c>
    </row>
    <row r="81" spans="1:4" x14ac:dyDescent="0.3">
      <c r="A81" s="18" t="s">
        <v>201</v>
      </c>
      <c r="B81" s="131">
        <v>45441</v>
      </c>
      <c r="C81" s="135">
        <v>2725848</v>
      </c>
    </row>
    <row r="82" spans="1:4" x14ac:dyDescent="0.3">
      <c r="A82" s="18" t="s">
        <v>202</v>
      </c>
      <c r="B82" s="131">
        <v>45532</v>
      </c>
      <c r="C82" s="135">
        <v>2552087</v>
      </c>
    </row>
    <row r="83" spans="1:4" x14ac:dyDescent="0.3">
      <c r="A83" s="18" t="s">
        <v>203</v>
      </c>
      <c r="B83" s="131">
        <v>45631</v>
      </c>
      <c r="C83" s="135">
        <v>2530100</v>
      </c>
    </row>
    <row r="84" spans="1:4" x14ac:dyDescent="0.3">
      <c r="A84" s="132" t="s">
        <v>204</v>
      </c>
      <c r="B84" s="133">
        <v>45743</v>
      </c>
      <c r="C84" s="136">
        <v>3487619</v>
      </c>
      <c r="D84" s="137">
        <f>SUM(C81:C84)</f>
        <v>11295654</v>
      </c>
    </row>
    <row r="85" spans="1:4" x14ac:dyDescent="0.3">
      <c r="A85" s="18" t="s">
        <v>205</v>
      </c>
      <c r="B85" s="131">
        <v>45806</v>
      </c>
      <c r="C85" s="135">
        <v>2848367</v>
      </c>
    </row>
    <row r="86" spans="1:4" x14ac:dyDescent="0.3">
      <c r="A86" s="18" t="s">
        <v>206</v>
      </c>
      <c r="B86" s="131">
        <v>45897</v>
      </c>
      <c r="C86" s="135">
        <v>2788469</v>
      </c>
    </row>
    <row r="87" spans="1:4" x14ac:dyDescent="0.3">
      <c r="A87" s="18" t="s">
        <v>227</v>
      </c>
      <c r="B87" s="131">
        <v>45995</v>
      </c>
      <c r="C87" s="135">
        <v>2857623</v>
      </c>
    </row>
    <row r="89" spans="1:4" x14ac:dyDescent="0.3">
      <c r="A89" s="3" t="s">
        <v>122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8366-2070-4B53-ABED-5C63CEF7FC79}">
  <sheetPr>
    <tabColor theme="5" tint="0.39997558519241921"/>
  </sheetPr>
  <dimension ref="A1:J103"/>
  <sheetViews>
    <sheetView topLeftCell="A6" zoomScale="54" workbookViewId="0">
      <selection activeCell="D91" sqref="D91"/>
    </sheetView>
  </sheetViews>
  <sheetFormatPr defaultRowHeight="14" x14ac:dyDescent="0.3"/>
  <cols>
    <col min="1" max="1" width="13.1796875" customWidth="1"/>
    <col min="2" max="2" width="14.81640625" customWidth="1"/>
    <col min="3" max="3" width="12.26953125" customWidth="1"/>
    <col min="4" max="4" width="13" customWidth="1"/>
    <col min="5" max="5" width="16" customWidth="1"/>
    <col min="6" max="6" width="16.6328125" customWidth="1"/>
    <col min="7" max="7" width="15.90625" customWidth="1"/>
    <col min="8" max="8" width="16" customWidth="1"/>
    <col min="9" max="9" width="17.26953125" customWidth="1"/>
  </cols>
  <sheetData>
    <row r="1" spans="1:9" x14ac:dyDescent="0.3">
      <c r="E1" t="s">
        <v>245</v>
      </c>
    </row>
    <row r="2" spans="1:9" ht="17.5" x14ac:dyDescent="0.3">
      <c r="B2" s="24" t="s">
        <v>106</v>
      </c>
      <c r="C2" s="26"/>
      <c r="D2" s="26"/>
      <c r="E2" s="26"/>
      <c r="F2" s="26"/>
      <c r="G2" s="26"/>
      <c r="H2" s="23"/>
      <c r="I2" s="26"/>
    </row>
    <row r="3" spans="1:9" ht="15" x14ac:dyDescent="0.3">
      <c r="B3" s="29"/>
      <c r="C3" s="29"/>
      <c r="D3" s="29"/>
      <c r="E3" s="29"/>
      <c r="F3" s="29"/>
      <c r="G3" s="29"/>
      <c r="H3" s="30"/>
      <c r="I3" s="29"/>
    </row>
    <row r="4" spans="1:9" ht="64" customHeight="1" x14ac:dyDescent="0.3">
      <c r="B4" s="12" t="s">
        <v>0</v>
      </c>
      <c r="C4" s="19" t="s">
        <v>44</v>
      </c>
      <c r="D4" s="19" t="s">
        <v>43</v>
      </c>
      <c r="E4" s="19" t="s">
        <v>250</v>
      </c>
      <c r="F4" s="19" t="s">
        <v>253</v>
      </c>
      <c r="G4" s="19" t="s">
        <v>252</v>
      </c>
      <c r="H4" s="19" t="s">
        <v>98</v>
      </c>
      <c r="I4" s="19" t="s">
        <v>105</v>
      </c>
    </row>
    <row r="5" spans="1:9" ht="15" x14ac:dyDescent="0.3">
      <c r="A5" s="23" t="s">
        <v>97</v>
      </c>
      <c r="B5" s="154">
        <f>'ULTA Q Rev (Acual)'!B5</f>
        <v>38472</v>
      </c>
      <c r="C5" s="1"/>
      <c r="D5" s="147">
        <f>'ULTA Q Rev (Acual)'!C5</f>
        <v>144769</v>
      </c>
      <c r="E5" s="147"/>
      <c r="F5" s="147"/>
      <c r="G5" s="147"/>
      <c r="H5" s="148" t="s">
        <v>220</v>
      </c>
      <c r="I5" s="148" t="s">
        <v>220</v>
      </c>
    </row>
    <row r="6" spans="1:9" x14ac:dyDescent="0.3">
      <c r="B6" s="154">
        <f>'ULTA Q Rev (Acual)'!B6</f>
        <v>38564</v>
      </c>
      <c r="C6" s="1"/>
      <c r="D6" s="147">
        <f>'ULTA Q Rev (Acual)'!C6</f>
        <v>144769</v>
      </c>
      <c r="E6" s="147"/>
      <c r="F6" s="147"/>
      <c r="G6" s="147"/>
      <c r="H6" s="148" t="s">
        <v>220</v>
      </c>
      <c r="I6" s="148" t="s">
        <v>220</v>
      </c>
    </row>
    <row r="7" spans="1:9" x14ac:dyDescent="0.3">
      <c r="B7" s="154">
        <f>'ULTA Q Rev (Acual)'!B7</f>
        <v>38656</v>
      </c>
      <c r="C7" s="1"/>
      <c r="D7" s="147">
        <f>'ULTA Q Rev (Acual)'!C7</f>
        <v>144769</v>
      </c>
      <c r="E7" s="147"/>
      <c r="F7" s="147"/>
      <c r="G7" s="147"/>
      <c r="H7" s="148" t="s">
        <v>220</v>
      </c>
      <c r="I7" s="148" t="s">
        <v>220</v>
      </c>
    </row>
    <row r="8" spans="1:9" x14ac:dyDescent="0.3">
      <c r="B8" s="155">
        <f>'ULTA Q Rev (Acual)'!B8</f>
        <v>38748</v>
      </c>
      <c r="C8" s="138">
        <f>SUM(B5:B8)</f>
        <v>154440</v>
      </c>
      <c r="D8" s="149">
        <f>'ULTA Q Rev (Acual)'!C8</f>
        <v>144768</v>
      </c>
      <c r="E8" s="149"/>
      <c r="F8" s="149"/>
      <c r="G8" s="149"/>
      <c r="H8" s="150" t="s">
        <v>220</v>
      </c>
      <c r="I8" s="150">
        <v>133003</v>
      </c>
    </row>
    <row r="9" spans="1:9" x14ac:dyDescent="0.3">
      <c r="B9" s="154">
        <f>'ULTA Q Rev (Acual)'!B9</f>
        <v>38837</v>
      </c>
      <c r="C9" s="1"/>
      <c r="D9" s="147">
        <f>'ULTA Q Rev (Acual)'!C9</f>
        <v>159468</v>
      </c>
      <c r="E9" s="147"/>
      <c r="F9" s="147"/>
      <c r="G9" s="147"/>
      <c r="H9" s="148" t="s">
        <v>220</v>
      </c>
      <c r="I9" s="148" t="s">
        <v>220</v>
      </c>
    </row>
    <row r="10" spans="1:9" x14ac:dyDescent="0.3">
      <c r="B10" s="154">
        <f>'ULTA Q Rev (Acual)'!B10</f>
        <v>38929</v>
      </c>
      <c r="C10" s="1"/>
      <c r="D10" s="147">
        <f>'ULTA Q Rev (Acual)'!C10</f>
        <v>162558</v>
      </c>
      <c r="E10" s="147"/>
      <c r="F10" s="147"/>
      <c r="G10" s="147"/>
      <c r="H10" s="148" t="s">
        <v>220</v>
      </c>
      <c r="I10" s="148" t="s">
        <v>220</v>
      </c>
    </row>
    <row r="11" spans="1:9" x14ac:dyDescent="0.3">
      <c r="B11" s="154">
        <f>'ULTA Q Rev (Acual)'!B11</f>
        <v>39021</v>
      </c>
      <c r="C11" s="1"/>
      <c r="D11" s="147">
        <f>'ULTA Q Rev (Acual)'!C11</f>
        <v>216544</v>
      </c>
      <c r="E11" s="147"/>
      <c r="F11" s="147"/>
      <c r="G11" s="147"/>
      <c r="H11" s="148" t="s">
        <v>220</v>
      </c>
      <c r="I11" s="148" t="s">
        <v>220</v>
      </c>
    </row>
    <row r="12" spans="1:9" x14ac:dyDescent="0.3">
      <c r="B12" s="155">
        <f>'ULTA Q Rev (Acual)'!B12</f>
        <v>39113</v>
      </c>
      <c r="C12" s="138">
        <f>SUM(B9:B12)</f>
        <v>155900</v>
      </c>
      <c r="D12" s="149">
        <f>'ULTA Q Rev (Acual)'!C12</f>
        <v>216543</v>
      </c>
      <c r="E12" s="149"/>
      <c r="F12" s="149"/>
      <c r="G12" s="149"/>
      <c r="H12" s="150" t="s">
        <v>220</v>
      </c>
      <c r="I12" s="150">
        <v>162080</v>
      </c>
    </row>
    <row r="13" spans="1:9" x14ac:dyDescent="0.3">
      <c r="B13" s="154">
        <f>'ULTA Q Rev (Acual)'!B13</f>
        <v>39202</v>
      </c>
      <c r="C13" s="1"/>
      <c r="D13" s="139">
        <f>'ULTA Q Rev (Acual)'!C13</f>
        <v>194113</v>
      </c>
      <c r="E13" s="139"/>
      <c r="F13" s="139"/>
      <c r="G13" s="139"/>
      <c r="H13" s="141">
        <v>134600</v>
      </c>
      <c r="I13" s="43">
        <v>174916</v>
      </c>
    </row>
    <row r="14" spans="1:9" x14ac:dyDescent="0.3">
      <c r="B14" s="154">
        <f>'ULTA Q Rev (Acual)'!B14</f>
        <v>39293</v>
      </c>
      <c r="C14" s="1"/>
      <c r="D14" s="139">
        <f>'ULTA Q Rev (Acual)'!C14</f>
        <v>200449</v>
      </c>
      <c r="E14" s="139"/>
      <c r="F14" s="139"/>
      <c r="G14" s="139"/>
      <c r="H14" s="141">
        <v>141417</v>
      </c>
      <c r="I14" s="43">
        <v>196919</v>
      </c>
    </row>
    <row r="15" spans="1:9" x14ac:dyDescent="0.3">
      <c r="B15" s="154">
        <f>'ULTA Q Rev (Acual)'!B15</f>
        <v>39386</v>
      </c>
      <c r="C15" s="1"/>
      <c r="D15" s="139">
        <f>'ULTA Q Rev (Acual)'!C15</f>
        <v>208235</v>
      </c>
      <c r="E15" s="139"/>
      <c r="F15" s="139"/>
      <c r="G15" s="139"/>
      <c r="H15" s="141">
        <v>140156</v>
      </c>
      <c r="I15" s="43">
        <v>226533</v>
      </c>
    </row>
    <row r="16" spans="1:9" x14ac:dyDescent="0.3">
      <c r="B16" s="155">
        <f>'ULTA Q Rev (Acual)'!B16</f>
        <v>39478</v>
      </c>
      <c r="C16" s="138">
        <f>SUM(B13:B16)</f>
        <v>157359</v>
      </c>
      <c r="D16" s="140">
        <f>'ULTA Q Rev (Acual)'!C16</f>
        <v>309344</v>
      </c>
      <c r="E16" s="140"/>
      <c r="F16" s="140"/>
      <c r="G16" s="140"/>
      <c r="H16" s="142">
        <v>212322</v>
      </c>
      <c r="I16" s="44">
        <v>236389</v>
      </c>
    </row>
    <row r="17" spans="2:9" x14ac:dyDescent="0.3">
      <c r="B17" s="154">
        <f>'ULTA Q Rev (Acual)'!B17</f>
        <v>39568</v>
      </c>
      <c r="C17" s="1"/>
      <c r="D17" s="139">
        <f>'ULTA Q Rev (Acual)'!C17</f>
        <v>239298</v>
      </c>
      <c r="E17" s="139"/>
      <c r="F17" s="139"/>
      <c r="G17" s="139"/>
      <c r="H17" s="141">
        <v>165377</v>
      </c>
      <c r="I17" s="43">
        <v>255123</v>
      </c>
    </row>
    <row r="18" spans="2:9" x14ac:dyDescent="0.3">
      <c r="B18" s="154">
        <f>'ULTA Q Rev (Acual)'!B18</f>
        <v>39660</v>
      </c>
      <c r="C18" s="1"/>
      <c r="D18" s="139">
        <f>'ULTA Q Rev (Acual)'!C18</f>
        <v>249111</v>
      </c>
      <c r="E18" s="139"/>
      <c r="F18" s="139"/>
      <c r="G18" s="139"/>
      <c r="H18" s="141">
        <v>175965</v>
      </c>
      <c r="I18" s="43">
        <v>278378</v>
      </c>
    </row>
    <row r="19" spans="2:9" x14ac:dyDescent="0.3">
      <c r="B19" s="154">
        <f>'ULTA Q Rev (Acual)'!B19</f>
        <v>39752</v>
      </c>
      <c r="C19" s="1"/>
      <c r="D19" s="139">
        <f>'ULTA Q Rev (Acual)'!C19</f>
        <v>254843</v>
      </c>
      <c r="E19" s="139"/>
      <c r="F19" s="139"/>
      <c r="G19" s="139"/>
      <c r="H19" s="141">
        <v>175368</v>
      </c>
      <c r="I19" s="43">
        <v>292120</v>
      </c>
    </row>
    <row r="20" spans="2:9" x14ac:dyDescent="0.3">
      <c r="B20" s="155">
        <f>'ULTA Q Rev (Acual)'!B20</f>
        <v>39844</v>
      </c>
      <c r="C20" s="138">
        <f>SUM(B17:B20)</f>
        <v>158824</v>
      </c>
      <c r="D20" s="140">
        <f>'ULTA Q Rev (Acual)'!C20</f>
        <v>341394</v>
      </c>
      <c r="E20" s="140"/>
      <c r="F20" s="140"/>
      <c r="G20" s="140"/>
      <c r="H20" s="142">
        <v>240002</v>
      </c>
      <c r="I20" s="44">
        <v>292224</v>
      </c>
    </row>
    <row r="21" spans="2:9" x14ac:dyDescent="0.3">
      <c r="B21" s="154">
        <f>'ULTA Q Rev (Acual)'!B21</f>
        <v>39933</v>
      </c>
      <c r="C21" s="1"/>
      <c r="D21" s="139">
        <f>'ULTA Q Rev (Acual)'!C21</f>
        <v>268825</v>
      </c>
      <c r="E21" s="139"/>
      <c r="F21" s="139"/>
      <c r="G21" s="139"/>
      <c r="H21" s="141">
        <v>189283</v>
      </c>
      <c r="I21" s="43">
        <v>286140</v>
      </c>
    </row>
    <row r="22" spans="2:9" x14ac:dyDescent="0.3">
      <c r="B22" s="154">
        <f>'ULTA Q Rev (Acual)'!B22</f>
        <v>40025</v>
      </c>
      <c r="C22" s="1"/>
      <c r="D22" s="139">
        <f>'ULTA Q Rev (Acual)'!C22</f>
        <v>273539</v>
      </c>
      <c r="E22" s="139"/>
      <c r="F22" s="139"/>
      <c r="G22" s="139"/>
      <c r="H22" s="141">
        <v>194825</v>
      </c>
      <c r="I22" s="43">
        <v>288537</v>
      </c>
    </row>
    <row r="23" spans="2:9" x14ac:dyDescent="0.3">
      <c r="B23" s="154">
        <f>'ULTA Q Rev (Acual)'!B23</f>
        <v>40117</v>
      </c>
      <c r="C23" s="1"/>
      <c r="D23" s="139">
        <f>'ULTA Q Rev (Acual)'!C23</f>
        <v>284043</v>
      </c>
      <c r="E23" s="139"/>
      <c r="F23" s="139"/>
      <c r="G23" s="139"/>
      <c r="H23" s="141">
        <v>192372</v>
      </c>
      <c r="I23" s="43">
        <v>293746</v>
      </c>
    </row>
    <row r="24" spans="2:9" x14ac:dyDescent="0.3">
      <c r="B24" s="155">
        <f>'ULTA Q Rev (Acual)'!B24</f>
        <v>40209</v>
      </c>
      <c r="C24" s="138">
        <f>SUM(B21:B24)</f>
        <v>160284</v>
      </c>
      <c r="D24" s="140">
        <f>'ULTA Q Rev (Acual)'!C24</f>
        <v>396364</v>
      </c>
      <c r="E24" s="140"/>
      <c r="F24" s="140"/>
      <c r="G24" s="140"/>
      <c r="H24" s="142">
        <v>269722</v>
      </c>
      <c r="I24" s="44">
        <v>290861</v>
      </c>
    </row>
    <row r="25" spans="2:9" x14ac:dyDescent="0.3">
      <c r="B25" s="154">
        <f>'ULTA Q Rev (Acual)'!B25</f>
        <v>40298</v>
      </c>
      <c r="C25" s="1"/>
      <c r="D25" s="139">
        <f>'ULTA Q Rev (Acual)'!C25</f>
        <v>320196</v>
      </c>
      <c r="E25" s="139"/>
      <c r="F25" s="139"/>
      <c r="G25" s="139"/>
      <c r="H25" s="141">
        <v>215661</v>
      </c>
      <c r="I25" s="43">
        <v>285766</v>
      </c>
    </row>
    <row r="26" spans="2:9" x14ac:dyDescent="0.3">
      <c r="B26" s="154">
        <f>'ULTA Q Rev (Acual)'!B26</f>
        <v>40390</v>
      </c>
      <c r="C26" s="1"/>
      <c r="D26" s="139">
        <f>'ULTA Q Rev (Acual)'!C26</f>
        <v>321804</v>
      </c>
      <c r="E26" s="139"/>
      <c r="F26" s="139"/>
      <c r="G26" s="139"/>
      <c r="H26" s="141">
        <v>217846</v>
      </c>
      <c r="I26" s="43">
        <v>301333</v>
      </c>
    </row>
    <row r="27" spans="2:9" x14ac:dyDescent="0.3">
      <c r="B27" s="154">
        <f>'ULTA Q Rev (Acual)'!B27</f>
        <v>40482</v>
      </c>
      <c r="C27" s="1"/>
      <c r="D27" s="139">
        <f>'ULTA Q Rev (Acual)'!C27</f>
        <v>339179</v>
      </c>
      <c r="E27" s="139"/>
      <c r="F27" s="139"/>
      <c r="G27" s="139"/>
      <c r="H27" s="141">
        <v>220273</v>
      </c>
      <c r="I27" s="43">
        <v>331390</v>
      </c>
    </row>
    <row r="28" spans="2:9" x14ac:dyDescent="0.3">
      <c r="B28" s="155">
        <f>'ULTA Q Rev (Acual)'!B28</f>
        <v>40574</v>
      </c>
      <c r="C28" s="138">
        <f>SUM(B25:B28)</f>
        <v>161744</v>
      </c>
      <c r="D28" s="140">
        <f>'ULTA Q Rev (Acual)'!C28</f>
        <v>473659</v>
      </c>
      <c r="E28" s="140"/>
      <c r="F28" s="140"/>
      <c r="G28" s="140"/>
      <c r="H28" s="142">
        <v>316973</v>
      </c>
      <c r="I28" s="44">
        <v>326099</v>
      </c>
    </row>
    <row r="29" spans="2:9" x14ac:dyDescent="0.3">
      <c r="B29" s="154">
        <f>'ULTA Q Rev (Acual)'!B29</f>
        <v>40663</v>
      </c>
      <c r="C29" s="1"/>
      <c r="D29" s="139">
        <f>'ULTA Q Rev (Acual)'!C29</f>
        <v>386006</v>
      </c>
      <c r="E29" s="139"/>
      <c r="F29" s="139"/>
      <c r="G29" s="139"/>
      <c r="H29" s="141">
        <v>251101</v>
      </c>
      <c r="I29" s="43">
        <v>332147</v>
      </c>
    </row>
    <row r="30" spans="2:9" x14ac:dyDescent="0.3">
      <c r="B30" s="154">
        <f>'ULTA Q Rev (Acual)'!B30</f>
        <v>40755</v>
      </c>
      <c r="C30" s="1"/>
      <c r="D30" s="139">
        <f>'ULTA Q Rev (Acual)'!C30</f>
        <v>394567</v>
      </c>
      <c r="E30" s="139"/>
      <c r="F30" s="139"/>
      <c r="G30" s="139"/>
      <c r="H30" s="141">
        <v>260280</v>
      </c>
      <c r="I30" s="43">
        <v>351576</v>
      </c>
    </row>
    <row r="31" spans="2:9" x14ac:dyDescent="0.3">
      <c r="B31" s="154">
        <f>'ULTA Q Rev (Acual)'!B31</f>
        <v>40847</v>
      </c>
      <c r="C31" s="1"/>
      <c r="D31" s="139">
        <f>'ULTA Q Rev (Acual)'!C31</f>
        <v>413067</v>
      </c>
      <c r="E31" s="139"/>
      <c r="F31" s="139"/>
      <c r="G31" s="139"/>
      <c r="H31" s="141">
        <v>263884</v>
      </c>
      <c r="I31" s="43">
        <v>373794</v>
      </c>
    </row>
    <row r="32" spans="2:9" x14ac:dyDescent="0.3">
      <c r="B32" s="155">
        <f>'ULTA Q Rev (Acual)'!B32</f>
        <v>40939</v>
      </c>
      <c r="C32" s="138">
        <f>SUM(B29:B32)</f>
        <v>163204</v>
      </c>
      <c r="D32" s="140">
        <f>'ULTA Q Rev (Acual)'!C32</f>
        <v>582511</v>
      </c>
      <c r="E32" s="140"/>
      <c r="F32" s="140"/>
      <c r="G32" s="140"/>
      <c r="H32" s="142">
        <v>384046</v>
      </c>
      <c r="I32" s="44">
        <v>376985</v>
      </c>
    </row>
    <row r="33" spans="2:9" x14ac:dyDescent="0.3">
      <c r="B33" s="154">
        <f>'ULTA Q Rev (Acual)'!B33</f>
        <v>41029</v>
      </c>
      <c r="C33" s="1"/>
      <c r="D33" s="139">
        <f>'ULTA Q Rev (Acual)'!C33</f>
        <v>474098</v>
      </c>
      <c r="E33" s="139"/>
      <c r="F33" s="139"/>
      <c r="G33" s="139"/>
      <c r="H33" s="141">
        <v>303186</v>
      </c>
      <c r="I33" s="43">
        <v>384904</v>
      </c>
    </row>
    <row r="34" spans="2:9" x14ac:dyDescent="0.3">
      <c r="B34" s="154">
        <f>'ULTA Q Rev (Acual)'!B34</f>
        <v>41121</v>
      </c>
      <c r="C34" s="1"/>
      <c r="D34" s="139">
        <f>'ULTA Q Rev (Acual)'!C34</f>
        <v>481683</v>
      </c>
      <c r="E34" s="139"/>
      <c r="F34" s="139"/>
      <c r="G34" s="139"/>
      <c r="H34" s="141">
        <v>314058</v>
      </c>
      <c r="I34" s="43">
        <v>421063</v>
      </c>
    </row>
    <row r="35" spans="2:9" x14ac:dyDescent="0.3">
      <c r="B35" s="154">
        <f>'ULTA Q Rev (Acual)'!B35</f>
        <v>41213</v>
      </c>
      <c r="C35" s="1"/>
      <c r="D35" s="139">
        <f>'ULTA Q Rev (Acual)'!C35</f>
        <v>505640</v>
      </c>
      <c r="E35" s="139"/>
      <c r="F35" s="139"/>
      <c r="G35" s="139"/>
      <c r="H35" s="141">
        <v>320147</v>
      </c>
      <c r="I35" s="43">
        <v>467165</v>
      </c>
    </row>
    <row r="36" spans="2:9" x14ac:dyDescent="0.3">
      <c r="B36" s="155">
        <f>'ULTA Q Rev (Acual)'!B36</f>
        <v>41365</v>
      </c>
      <c r="C36" s="138">
        <f>SUM(B33:B36)</f>
        <v>164728</v>
      </c>
      <c r="D36" s="140">
        <f>'ULTA Q Rev (Acual)'!C36</f>
        <v>758835</v>
      </c>
      <c r="E36" s="140"/>
      <c r="F36" s="140"/>
      <c r="G36" s="140"/>
      <c r="H36" s="142">
        <v>499191</v>
      </c>
      <c r="I36" s="44">
        <v>483059</v>
      </c>
    </row>
    <row r="37" spans="2:9" x14ac:dyDescent="0.3">
      <c r="B37" s="154">
        <f>'ULTA Q Rev (Acual)'!B37</f>
        <v>41435</v>
      </c>
      <c r="C37" s="1"/>
      <c r="D37" s="139">
        <f>'ULTA Q Rev (Acual)'!C37</f>
        <v>582712</v>
      </c>
      <c r="E37" s="139"/>
      <c r="F37" s="139"/>
      <c r="G37" s="139"/>
      <c r="H37" s="141">
        <v>378763</v>
      </c>
      <c r="I37" s="43">
        <v>499395</v>
      </c>
    </row>
    <row r="38" spans="2:9" x14ac:dyDescent="0.3">
      <c r="B38" s="154">
        <f>'ULTA Q Rev (Acual)'!B38</f>
        <v>41528</v>
      </c>
      <c r="C38" s="1"/>
      <c r="D38" s="139">
        <f>'ULTA Q Rev (Acual)'!C38</f>
        <v>600998</v>
      </c>
      <c r="E38" s="139"/>
      <c r="F38" s="139"/>
      <c r="G38" s="139"/>
      <c r="H38" s="141">
        <v>388921</v>
      </c>
      <c r="I38" s="43">
        <v>541557</v>
      </c>
    </row>
    <row r="39" spans="2:9" x14ac:dyDescent="0.3">
      <c r="B39" s="154">
        <f>'ULTA Q Rev (Acual)'!B39</f>
        <v>41612</v>
      </c>
      <c r="C39" s="1"/>
      <c r="D39" s="139">
        <f>'ULTA Q Rev (Acual)'!C39</f>
        <v>618781</v>
      </c>
      <c r="E39" s="139"/>
      <c r="F39" s="139"/>
      <c r="G39" s="139"/>
      <c r="H39" s="141">
        <v>387120</v>
      </c>
      <c r="I39" s="43">
        <v>590132</v>
      </c>
    </row>
    <row r="40" spans="2:9" x14ac:dyDescent="0.3">
      <c r="B40" s="155">
        <f>'ULTA Q Rev (Acual)'!B40</f>
        <v>41728</v>
      </c>
      <c r="C40" s="138">
        <f>SUM(B37:B40)</f>
        <v>166303</v>
      </c>
      <c r="D40" s="140">
        <f>'ULTA Q Rev (Acual)'!C40</f>
        <v>868082</v>
      </c>
      <c r="E40" s="140"/>
      <c r="F40" s="140"/>
      <c r="G40" s="140"/>
      <c r="H40" s="142">
        <v>574521</v>
      </c>
      <c r="I40" s="44">
        <v>595736</v>
      </c>
    </row>
    <row r="41" spans="2:9" x14ac:dyDescent="0.3">
      <c r="B41" s="154">
        <f>'ULTA Q Rev (Acual)'!B41</f>
        <v>41794</v>
      </c>
      <c r="C41" s="1"/>
      <c r="D41" s="139">
        <f>'ULTA Q Rev (Acual)'!C41</f>
        <v>713770</v>
      </c>
      <c r="E41" s="139"/>
      <c r="F41" s="139"/>
      <c r="G41" s="139"/>
      <c r="H41" s="141">
        <v>467817</v>
      </c>
      <c r="I41" s="43">
        <v>603933</v>
      </c>
    </row>
    <row r="42" spans="2:9" x14ac:dyDescent="0.3">
      <c r="B42" s="154">
        <f>'ULTA Q Rev (Acual)'!B42</f>
        <v>41823</v>
      </c>
      <c r="C42" s="1"/>
      <c r="D42" s="139">
        <f>'ULTA Q Rev (Acual)'!C42</f>
        <v>734236</v>
      </c>
      <c r="E42" s="139"/>
      <c r="F42" s="139"/>
      <c r="G42" s="139"/>
      <c r="H42" s="141">
        <v>474894</v>
      </c>
      <c r="I42" s="43">
        <v>646890</v>
      </c>
    </row>
    <row r="43" spans="2:9" x14ac:dyDescent="0.3">
      <c r="B43" s="154">
        <f>'ULTA Q Rev (Acual)'!B43</f>
        <v>41976</v>
      </c>
      <c r="C43" s="1"/>
      <c r="D43" s="139">
        <f>'ULTA Q Rev (Acual)'!C43</f>
        <v>745722</v>
      </c>
      <c r="E43" s="139"/>
      <c r="F43" s="139"/>
      <c r="G43" s="139"/>
      <c r="H43" s="141">
        <v>463967</v>
      </c>
      <c r="I43" s="43">
        <v>686898</v>
      </c>
    </row>
    <row r="44" spans="2:9" x14ac:dyDescent="0.3">
      <c r="B44" s="155">
        <f>'ULTA Q Rev (Acual)'!B44</f>
        <v>42091</v>
      </c>
      <c r="C44" s="138">
        <f>SUM(B41:B44)</f>
        <v>167684</v>
      </c>
      <c r="D44" s="140">
        <f>'ULTA Q Rev (Acual)'!C44</f>
        <v>1047641</v>
      </c>
      <c r="E44" s="140"/>
      <c r="F44" s="140"/>
      <c r="G44" s="140"/>
      <c r="H44" s="142">
        <v>697904</v>
      </c>
      <c r="I44" s="44">
        <v>717159</v>
      </c>
    </row>
    <row r="45" spans="2:9" x14ac:dyDescent="0.3">
      <c r="B45" s="154">
        <f>'ULTA Q Rev (Acual)'!B45</f>
        <v>42157</v>
      </c>
      <c r="C45" s="1"/>
      <c r="D45" s="139">
        <f>'ULTA Q Rev (Acual)'!C45</f>
        <v>868122</v>
      </c>
      <c r="E45" s="139">
        <v>40947</v>
      </c>
      <c r="F45" s="139">
        <v>-2806</v>
      </c>
      <c r="G45" s="139">
        <v>192485</v>
      </c>
      <c r="H45" s="141">
        <v>564938</v>
      </c>
      <c r="I45" s="43">
        <v>744665</v>
      </c>
    </row>
    <row r="46" spans="2:9" x14ac:dyDescent="0.3">
      <c r="B46" s="154">
        <f>'ULTA Q Rev (Acual)'!B46</f>
        <v>42241</v>
      </c>
      <c r="C46" s="1"/>
      <c r="D46" s="139">
        <f>'ULTA Q Rev (Acual)'!C46</f>
        <v>876999</v>
      </c>
      <c r="E46" s="139">
        <v>44567</v>
      </c>
      <c r="F46" s="139">
        <v>-3802</v>
      </c>
      <c r="G46" s="139">
        <v>183937</v>
      </c>
      <c r="H46" s="141">
        <v>570524</v>
      </c>
      <c r="I46" s="43">
        <v>791904</v>
      </c>
    </row>
    <row r="47" spans="2:9" x14ac:dyDescent="0.3">
      <c r="B47" s="154">
        <f>'ULTA Q Rev (Acual)'!B47</f>
        <v>42339</v>
      </c>
      <c r="C47" s="1"/>
      <c r="D47" s="139">
        <f>'ULTA Q Rev (Acual)'!C47</f>
        <v>910700</v>
      </c>
      <c r="E47" s="139">
        <v>39982</v>
      </c>
      <c r="F47" s="139">
        <v>-5823</v>
      </c>
      <c r="G47" s="139">
        <v>218763</v>
      </c>
      <c r="H47" s="141">
        <v>575062</v>
      </c>
      <c r="I47" s="43">
        <v>844238</v>
      </c>
    </row>
    <row r="48" spans="2:9" x14ac:dyDescent="0.3">
      <c r="B48" s="155">
        <f>'ULTA Q Rev (Acual)'!B48</f>
        <v>42463</v>
      </c>
      <c r="C48" s="138">
        <f>SUM(B45:B48)</f>
        <v>169200</v>
      </c>
      <c r="D48" s="140">
        <f>'ULTA Q Rev (Acual)'!C48</f>
        <v>1268295</v>
      </c>
      <c r="E48" s="140">
        <v>61936</v>
      </c>
      <c r="F48" s="140">
        <v>-1108</v>
      </c>
      <c r="G48" s="140">
        <v>268169</v>
      </c>
      <c r="H48" s="142">
        <v>829259</v>
      </c>
      <c r="I48" s="44">
        <v>847600</v>
      </c>
    </row>
    <row r="49" spans="2:9" x14ac:dyDescent="0.3">
      <c r="B49" s="154">
        <f>'ULTA Q Rev (Acual)'!B49</f>
        <v>42522</v>
      </c>
      <c r="C49" s="1"/>
      <c r="D49" s="139">
        <f>'ULTA Q Rev (Acual)'!C49</f>
        <v>1073716</v>
      </c>
      <c r="E49" s="139">
        <v>55503</v>
      </c>
      <c r="F49" s="139">
        <v>-2227</v>
      </c>
      <c r="G49" s="139">
        <v>240724</v>
      </c>
      <c r="H49" s="141">
        <v>683286</v>
      </c>
      <c r="I49" s="43">
        <v>870835</v>
      </c>
    </row>
    <row r="50" spans="2:9" x14ac:dyDescent="0.3">
      <c r="B50" s="154">
        <f>'ULTA Q Rev (Acual)'!B50</f>
        <v>42613</v>
      </c>
      <c r="C50" s="1"/>
      <c r="D50" s="139">
        <f>'ULTA Q Rev (Acual)'!C50</f>
        <v>1069215</v>
      </c>
      <c r="E50" s="139">
        <v>54013</v>
      </c>
      <c r="F50" s="139">
        <v>-4441</v>
      </c>
      <c r="G50" s="139">
        <v>236380</v>
      </c>
      <c r="H50" s="141">
        <v>684377</v>
      </c>
      <c r="I50" s="43">
        <v>919597</v>
      </c>
    </row>
    <row r="51" spans="2:9" x14ac:dyDescent="0.3">
      <c r="B51" s="154">
        <f>'ULTA Q Rev (Acual)'!B51</f>
        <v>42704</v>
      </c>
      <c r="C51" s="1"/>
      <c r="D51" s="139">
        <f>'ULTA Q Rev (Acual)'!C51</f>
        <v>1131232</v>
      </c>
      <c r="E51" s="139">
        <v>52310</v>
      </c>
      <c r="F51" s="139">
        <v>-6717</v>
      </c>
      <c r="G51" s="139">
        <v>280464</v>
      </c>
      <c r="H51" s="141">
        <v>704179</v>
      </c>
      <c r="I51" s="43">
        <v>1001938</v>
      </c>
    </row>
    <row r="52" spans="2:9" x14ac:dyDescent="0.3">
      <c r="B52" s="155">
        <f>'ULTA Q Rev (Acual)'!B52</f>
        <v>42827</v>
      </c>
      <c r="C52" s="138">
        <f>SUM(B49:B52)</f>
        <v>170666</v>
      </c>
      <c r="D52" s="140">
        <f>'ULTA Q Rev (Acual)'!C52</f>
        <v>1580574</v>
      </c>
      <c r="E52" s="140">
        <v>84128</v>
      </c>
      <c r="F52" s="140">
        <v>-4296</v>
      </c>
      <c r="G52" s="140">
        <v>316266</v>
      </c>
      <c r="H52" s="142">
        <v>1035666</v>
      </c>
      <c r="I52" s="44">
        <v>1004358</v>
      </c>
    </row>
    <row r="53" spans="2:9" x14ac:dyDescent="0.3">
      <c r="B53" s="154">
        <f>'ULTA Q Rev (Acual)'!B53</f>
        <v>42887</v>
      </c>
      <c r="C53" s="1"/>
      <c r="D53" s="139">
        <f>'ULTA Q Rev (Acual)'!C53</f>
        <v>1314879</v>
      </c>
      <c r="E53" s="139">
        <v>60520</v>
      </c>
      <c r="F53" s="139">
        <v>-3820</v>
      </c>
      <c r="G53" s="139">
        <v>283445</v>
      </c>
      <c r="H53" s="141">
        <v>838871</v>
      </c>
      <c r="I53" s="43">
        <v>1020853</v>
      </c>
    </row>
    <row r="54" spans="2:9" x14ac:dyDescent="0.3">
      <c r="B54" s="154">
        <f>'ULTA Q Rev (Acual)'!B54</f>
        <v>42977</v>
      </c>
      <c r="C54" s="1"/>
      <c r="D54" s="139">
        <f>'ULTA Q Rev (Acual)'!C54</f>
        <v>1289854</v>
      </c>
      <c r="E54" s="139">
        <v>66162</v>
      </c>
      <c r="F54" s="139">
        <v>-5544</v>
      </c>
      <c r="G54" s="139">
        <v>283427</v>
      </c>
      <c r="H54" s="141">
        <v>820528</v>
      </c>
      <c r="I54" s="43">
        <v>1095135</v>
      </c>
    </row>
    <row r="55" spans="2:9" x14ac:dyDescent="0.3">
      <c r="B55" s="154">
        <f>'ULTA Q Rev (Acual)'!B55</f>
        <v>43075</v>
      </c>
      <c r="C55" s="1"/>
      <c r="D55" s="139">
        <f>'ULTA Q Rev (Acual)'!C55</f>
        <v>1342181</v>
      </c>
      <c r="E55" s="139">
        <v>58338</v>
      </c>
      <c r="F55" s="139">
        <v>-9416</v>
      </c>
      <c r="G55" s="139">
        <v>320729</v>
      </c>
      <c r="H55" s="141">
        <v>849053</v>
      </c>
      <c r="I55" s="43">
        <v>1172682</v>
      </c>
    </row>
    <row r="56" spans="2:9" x14ac:dyDescent="0.3">
      <c r="B56" s="155">
        <f>'ULTA Q Rev (Acual)'!B56</f>
        <v>43186</v>
      </c>
      <c r="C56" s="138">
        <f>SUM(B53:B56)</f>
        <v>172125</v>
      </c>
      <c r="D56" s="140">
        <f>'ULTA Q Rev (Acual)'!C56</f>
        <v>1937592</v>
      </c>
      <c r="E56" s="140">
        <v>46605</v>
      </c>
      <c r="F56" s="140">
        <v>-3938</v>
      </c>
      <c r="G56" s="140">
        <v>399631</v>
      </c>
      <c r="H56" s="142">
        <v>1279245</v>
      </c>
      <c r="I56" s="44">
        <v>1189453</v>
      </c>
    </row>
    <row r="57" spans="2:9" x14ac:dyDescent="0.3">
      <c r="B57" s="154">
        <f>'ULTA Q Rev (Acual)'!B57</f>
        <v>43250</v>
      </c>
      <c r="C57" s="1"/>
      <c r="D57" s="139">
        <f>'ULTA Q Rev (Acual)'!C57</f>
        <v>1543667</v>
      </c>
      <c r="E57" s="139">
        <v>46771</v>
      </c>
      <c r="F57" s="139">
        <v>-3922</v>
      </c>
      <c r="G57" s="139">
        <v>345624</v>
      </c>
      <c r="H57" s="141">
        <v>982954</v>
      </c>
      <c r="I57" s="43">
        <v>1190969</v>
      </c>
    </row>
    <row r="58" spans="2:9" x14ac:dyDescent="0.3">
      <c r="B58" s="154">
        <f>'ULTA Q Rev (Acual)'!B58</f>
        <v>43341</v>
      </c>
      <c r="C58" s="1"/>
      <c r="D58" s="139">
        <f>'ULTA Q Rev (Acual)'!C58</f>
        <v>1488221</v>
      </c>
      <c r="E58" s="139">
        <v>46635</v>
      </c>
      <c r="F58" s="139">
        <v>-3361</v>
      </c>
      <c r="G58" s="139">
        <v>337142</v>
      </c>
      <c r="H58" s="141">
        <v>952760</v>
      </c>
      <c r="I58" s="43">
        <v>1212978</v>
      </c>
    </row>
    <row r="59" spans="2:9" x14ac:dyDescent="0.3">
      <c r="B59" s="154">
        <f>'ULTA Q Rev (Acual)'!B59</f>
        <v>43439</v>
      </c>
      <c r="C59" s="1"/>
      <c r="D59" s="139">
        <f>'ULTA Q Rev (Acual)'!C59</f>
        <v>1560011</v>
      </c>
      <c r="E59" s="139">
        <v>39365</v>
      </c>
      <c r="F59" s="139">
        <v>-6294</v>
      </c>
      <c r="G59" s="139">
        <v>395453</v>
      </c>
      <c r="H59" s="141">
        <v>987733</v>
      </c>
      <c r="I59" s="43">
        <v>1257775</v>
      </c>
    </row>
    <row r="60" spans="2:9" x14ac:dyDescent="0.3">
      <c r="B60" s="155">
        <f>'ULTA Q Rev (Acual)'!B60</f>
        <v>43550</v>
      </c>
      <c r="C60" s="138">
        <f>SUM(B57:B60)</f>
        <v>173580</v>
      </c>
      <c r="D60" s="140">
        <f>'ULTA Q Rev (Acual)'!C60</f>
        <v>2124716</v>
      </c>
      <c r="E60" s="140">
        <v>67811</v>
      </c>
      <c r="F60" s="140">
        <v>-1129</v>
      </c>
      <c r="G60" s="140">
        <v>457245</v>
      </c>
      <c r="H60" s="142">
        <v>1383857</v>
      </c>
      <c r="I60" s="44">
        <v>1226029</v>
      </c>
    </row>
    <row r="61" spans="2:9" x14ac:dyDescent="0.3">
      <c r="B61" s="154">
        <f>'ULTA Q Rev (Acual)'!B61</f>
        <v>43613</v>
      </c>
      <c r="C61" s="1"/>
      <c r="D61" s="139">
        <f>'ULTA Q Rev (Acual)'!C61</f>
        <v>1743029</v>
      </c>
      <c r="E61" s="139">
        <v>47365</v>
      </c>
      <c r="F61" s="139">
        <v>-2128</v>
      </c>
      <c r="G61" s="139">
        <v>403133</v>
      </c>
      <c r="H61" s="141">
        <v>1098182</v>
      </c>
      <c r="I61" s="43">
        <v>2685051</v>
      </c>
    </row>
    <row r="62" spans="2:9" x14ac:dyDescent="0.3">
      <c r="B62" s="154">
        <f>'ULTA Q Rev (Acual)'!B62</f>
        <v>43704</v>
      </c>
      <c r="C62" s="1"/>
      <c r="D62" s="139">
        <f>'ULTA Q Rev (Acual)'!C62</f>
        <v>1666607</v>
      </c>
      <c r="E62" s="139">
        <v>48431</v>
      </c>
      <c r="F62" s="139">
        <v>-3367</v>
      </c>
      <c r="G62" s="139">
        <v>392843</v>
      </c>
      <c r="H62" s="141">
        <v>1060708</v>
      </c>
      <c r="I62" s="43">
        <v>2719504</v>
      </c>
    </row>
    <row r="63" spans="2:9" x14ac:dyDescent="0.3">
      <c r="B63" s="154">
        <f>'ULTA Q Rev (Acual)'!B63</f>
        <v>43802</v>
      </c>
      <c r="C63" s="1"/>
      <c r="D63" s="139">
        <f>'ULTA Q Rev (Acual)'!C63</f>
        <v>1682514</v>
      </c>
      <c r="E63" s="139">
        <v>38933</v>
      </c>
      <c r="F63" s="139">
        <v>-5555</v>
      </c>
      <c r="G63" s="139">
        <v>449198</v>
      </c>
      <c r="H63" s="141">
        <v>1059081</v>
      </c>
      <c r="I63" s="43">
        <v>2762936</v>
      </c>
    </row>
    <row r="64" spans="2:9" x14ac:dyDescent="0.3">
      <c r="B64" s="155">
        <f>'ULTA Q Rev (Acual)'!B64</f>
        <v>43915</v>
      </c>
      <c r="C64" s="138">
        <f>SUM(B61:B64)</f>
        <v>175034</v>
      </c>
      <c r="D64" s="140">
        <f>'ULTA Q Rev (Acual)'!C64</f>
        <v>2305918</v>
      </c>
      <c r="E64" s="140">
        <v>65476</v>
      </c>
      <c r="F64" s="140">
        <v>-3148</v>
      </c>
      <c r="G64" s="140">
        <v>515542</v>
      </c>
      <c r="H64" s="142">
        <v>1499033</v>
      </c>
      <c r="I64" s="44">
        <v>2743089</v>
      </c>
    </row>
    <row r="65" spans="2:9" x14ac:dyDescent="0.3">
      <c r="B65" s="154">
        <f>'ULTA Q Rev (Acual)'!B65</f>
        <v>43978</v>
      </c>
      <c r="C65" s="1"/>
      <c r="D65" s="139">
        <f>'ULTA Q Rev (Acual)'!C65</f>
        <v>1173210</v>
      </c>
      <c r="E65" s="139">
        <v>-24247</v>
      </c>
      <c r="F65" s="139">
        <v>-25449</v>
      </c>
      <c r="G65" s="139">
        <v>380912</v>
      </c>
      <c r="H65" s="141">
        <v>869605</v>
      </c>
      <c r="I65" s="43">
        <v>2731831</v>
      </c>
    </row>
    <row r="66" spans="2:9" x14ac:dyDescent="0.3">
      <c r="B66" s="154">
        <f>'ULTA Q Rev (Acual)'!B66</f>
        <v>44068</v>
      </c>
      <c r="C66" s="1"/>
      <c r="D66" s="139">
        <f>'ULTA Q Rev (Acual)'!C66</f>
        <v>1228009</v>
      </c>
      <c r="E66" s="139">
        <v>2086</v>
      </c>
      <c r="F66" s="139">
        <v>-47282</v>
      </c>
      <c r="G66" s="139">
        <v>271587</v>
      </c>
      <c r="H66" s="141">
        <v>899002</v>
      </c>
      <c r="I66" s="43">
        <v>2626064</v>
      </c>
    </row>
    <row r="67" spans="2:9" x14ac:dyDescent="0.3">
      <c r="B67" s="154">
        <f>'ULTA Q Rev (Acual)'!B67</f>
        <v>44167</v>
      </c>
      <c r="C67" s="1"/>
      <c r="D67" s="139">
        <f>'ULTA Q Rev (Acual)'!C67</f>
        <v>1552033</v>
      </c>
      <c r="E67" s="139">
        <v>25096</v>
      </c>
      <c r="F67" s="139">
        <v>-29247</v>
      </c>
      <c r="G67" s="139">
        <v>416378</v>
      </c>
      <c r="H67" s="141">
        <v>1006514</v>
      </c>
      <c r="I67" s="43">
        <v>2552292</v>
      </c>
    </row>
    <row r="68" spans="2:9" x14ac:dyDescent="0.3">
      <c r="B68" s="155">
        <f>'ULTA Q Rev (Acual)'!B68</f>
        <v>44279</v>
      </c>
      <c r="C68" s="138">
        <f>SUM(B65:B68)</f>
        <v>176492</v>
      </c>
      <c r="D68" s="140">
        <f>'ULTA Q Rev (Acual)'!C68</f>
        <v>2198701</v>
      </c>
      <c r="E68" s="140">
        <v>52315</v>
      </c>
      <c r="F68" s="140">
        <v>-33079</v>
      </c>
      <c r="G68" s="140">
        <v>514140</v>
      </c>
      <c r="H68" s="142">
        <v>1427673</v>
      </c>
      <c r="I68" s="44">
        <v>2500409</v>
      </c>
    </row>
    <row r="69" spans="2:9" x14ac:dyDescent="0.3">
      <c r="B69" s="154">
        <f>'ULTA Q Rev (Acual)'!B69</f>
        <v>44342</v>
      </c>
      <c r="C69" s="1"/>
      <c r="D69" s="139">
        <f>'ULTA Q Rev (Acual)'!C69</f>
        <v>1938519</v>
      </c>
      <c r="E69" s="139">
        <v>74677</v>
      </c>
      <c r="F69" s="139">
        <v>-4947</v>
      </c>
      <c r="G69" s="139">
        <v>443875</v>
      </c>
      <c r="H69" s="141">
        <v>1184731</v>
      </c>
      <c r="I69" s="43">
        <v>2448056</v>
      </c>
    </row>
    <row r="70" spans="2:9" x14ac:dyDescent="0.3">
      <c r="B70" s="154">
        <f>'ULTA Q Rev (Acual)'!B70</f>
        <v>44433</v>
      </c>
      <c r="C70" s="1"/>
      <c r="D70" s="139">
        <f>'ULTA Q Rev (Acual)'!C70</f>
        <v>1967207</v>
      </c>
      <c r="E70" s="139">
        <v>80989</v>
      </c>
      <c r="F70" s="139">
        <v>-1782</v>
      </c>
      <c r="G70" s="139">
        <v>464299</v>
      </c>
      <c r="H70" s="141">
        <v>1169244</v>
      </c>
      <c r="I70" s="43">
        <v>2379673</v>
      </c>
    </row>
    <row r="71" spans="2:9" x14ac:dyDescent="0.3">
      <c r="B71" s="154">
        <f>'ULTA Q Rev (Acual)'!B71</f>
        <v>44531</v>
      </c>
      <c r="C71" s="1"/>
      <c r="D71" s="139">
        <f>'ULTA Q Rev (Acual)'!C71</f>
        <v>1995775</v>
      </c>
      <c r="E71" s="139">
        <v>68537</v>
      </c>
      <c r="F71" s="139">
        <v>-2245</v>
      </c>
      <c r="G71" s="139">
        <v>503403</v>
      </c>
      <c r="H71" s="141">
        <v>1206301</v>
      </c>
      <c r="I71" s="43">
        <v>2373198</v>
      </c>
    </row>
    <row r="72" spans="2:9" x14ac:dyDescent="0.3">
      <c r="B72" s="155">
        <f>'ULTA Q Rev (Acual)'!B72</f>
        <v>44646</v>
      </c>
      <c r="C72" s="138">
        <f>SUM(B69:B72)</f>
        <v>177952</v>
      </c>
      <c r="D72" s="140">
        <f>'ULTA Q Rev (Acual)'!C72</f>
        <v>2729388</v>
      </c>
      <c r="E72" s="140">
        <v>85789</v>
      </c>
      <c r="F72" s="140">
        <v>-2206</v>
      </c>
      <c r="G72" s="140">
        <v>649968</v>
      </c>
      <c r="H72" s="142">
        <v>1702059</v>
      </c>
      <c r="I72" s="44">
        <v>2396732</v>
      </c>
    </row>
    <row r="73" spans="2:9" x14ac:dyDescent="0.3">
      <c r="B73" s="154">
        <f>'ULTA Q Rev (Acual)'!B73</f>
        <v>44706</v>
      </c>
      <c r="C73" s="1"/>
      <c r="D73" s="139">
        <f>'ULTA Q Rev (Acual)'!C73</f>
        <v>2345901</v>
      </c>
      <c r="E73" s="139">
        <v>105912</v>
      </c>
      <c r="F73" s="139">
        <v>-2749</v>
      </c>
      <c r="G73" s="139">
        <v>500970</v>
      </c>
      <c r="H73" s="141">
        <v>1404875</v>
      </c>
      <c r="I73" s="43">
        <v>2397583</v>
      </c>
    </row>
    <row r="74" spans="2:9" x14ac:dyDescent="0.3">
      <c r="B74" s="154">
        <f>'ULTA Q Rev (Acual)'!B74</f>
        <v>44797</v>
      </c>
      <c r="C74" s="1"/>
      <c r="D74" s="139">
        <f>'ULTA Q Rev (Acual)'!C74</f>
        <v>2297113</v>
      </c>
      <c r="E74" s="139">
        <v>95859</v>
      </c>
      <c r="F74" s="139">
        <v>-2169</v>
      </c>
      <c r="G74" s="139">
        <v>534459</v>
      </c>
      <c r="H74" s="141">
        <v>1368949</v>
      </c>
      <c r="I74" s="43">
        <v>2421263</v>
      </c>
    </row>
    <row r="75" spans="2:9" x14ac:dyDescent="0.3">
      <c r="B75" s="154">
        <f>'ULTA Q Rev (Acual)'!B75</f>
        <v>44895</v>
      </c>
      <c r="C75" s="1"/>
      <c r="D75" s="139">
        <f>'ULTA Q Rev (Acual)'!C75</f>
        <v>2338793</v>
      </c>
      <c r="E75" s="139">
        <v>88120</v>
      </c>
      <c r="F75" s="139">
        <v>-2948</v>
      </c>
      <c r="G75" s="139">
        <v>597164</v>
      </c>
      <c r="H75" s="141">
        <v>1375976</v>
      </c>
      <c r="I75" s="43">
        <v>2523979</v>
      </c>
    </row>
    <row r="76" spans="2:9" x14ac:dyDescent="0.3">
      <c r="B76" s="155">
        <f>'ULTA Q Rev (Acual)'!B76</f>
        <v>45012</v>
      </c>
      <c r="C76" s="138">
        <f>SUM(B73:B76)</f>
        <v>179410</v>
      </c>
      <c r="D76" s="140">
        <f>'ULTA Q Rev (Acual)'!C76</f>
        <v>3226773</v>
      </c>
      <c r="E76" s="140">
        <v>111245</v>
      </c>
      <c r="F76" s="140">
        <v>2199</v>
      </c>
      <c r="G76" s="140">
        <v>762706</v>
      </c>
      <c r="H76" s="142">
        <v>2014270</v>
      </c>
      <c r="I76" s="44">
        <v>2570536</v>
      </c>
    </row>
    <row r="77" spans="2:9" x14ac:dyDescent="0.3">
      <c r="B77" s="154">
        <f>'ULTA Q Rev (Acual)'!B77</f>
        <v>45076</v>
      </c>
      <c r="C77" s="1"/>
      <c r="D77" s="139">
        <f>'ULTA Q Rev (Acual)'!C77</f>
        <v>2634263</v>
      </c>
      <c r="E77" s="139">
        <v>102367</v>
      </c>
      <c r="F77" s="139">
        <v>6690</v>
      </c>
      <c r="G77" s="139">
        <v>612129</v>
      </c>
      <c r="H77" s="141">
        <v>1579406</v>
      </c>
      <c r="I77" s="43">
        <v>2579538</v>
      </c>
    </row>
    <row r="78" spans="2:9" x14ac:dyDescent="0.3">
      <c r="B78" s="154">
        <f>'ULTA Q Rev (Acual)'!B78</f>
        <v>45167</v>
      </c>
      <c r="C78" s="1"/>
      <c r="D78" s="139">
        <f>'ULTA Q Rev (Acual)'!C78</f>
        <v>2529809</v>
      </c>
      <c r="E78" s="139">
        <v>95989</v>
      </c>
      <c r="F78" s="139">
        <v>3171</v>
      </c>
      <c r="G78" s="139">
        <v>600692</v>
      </c>
      <c r="H78" s="141">
        <v>1536197</v>
      </c>
      <c r="I78" s="43">
        <v>2622290</v>
      </c>
    </row>
    <row r="79" spans="2:9" x14ac:dyDescent="0.3">
      <c r="B79" s="154">
        <f>'ULTA Q Rev (Acual)'!B79</f>
        <v>45265</v>
      </c>
      <c r="C79" s="1"/>
      <c r="D79" s="139">
        <f>'ULTA Q Rev (Acual)'!C79</f>
        <v>2488933</v>
      </c>
      <c r="E79" s="139">
        <v>80241</v>
      </c>
      <c r="F79" s="139">
        <v>-963</v>
      </c>
      <c r="G79" s="139">
        <v>661380</v>
      </c>
      <c r="H79" s="141">
        <v>1496866</v>
      </c>
      <c r="I79" s="43">
        <v>2696190</v>
      </c>
    </row>
    <row r="80" spans="2:9" x14ac:dyDescent="0.3">
      <c r="B80" s="155">
        <f>'ULTA Q Rev (Acual)'!B80</f>
        <v>45378</v>
      </c>
      <c r="C80" s="138">
        <f>SUM(B77:B80)</f>
        <v>180886</v>
      </c>
      <c r="D80" s="140">
        <f>'ULTA Q Rev (Acual)'!C80</f>
        <v>3554298</v>
      </c>
      <c r="E80" s="140">
        <v>126049</v>
      </c>
      <c r="F80" s="140">
        <v>214</v>
      </c>
      <c r="G80" s="140">
        <v>820360</v>
      </c>
      <c r="H80" s="142">
        <v>2213734</v>
      </c>
      <c r="I80" s="146">
        <v>2756865</v>
      </c>
    </row>
    <row r="81" spans="1:10" x14ac:dyDescent="0.3">
      <c r="B81" s="154">
        <f>'ULTA Q Rev (Acual)'!B81</f>
        <v>45441</v>
      </c>
      <c r="C81" s="1"/>
      <c r="D81" s="139">
        <f>'ULTA Q Rev (Acual)'!C81</f>
        <v>2725848</v>
      </c>
      <c r="E81" s="139">
        <v>94735</v>
      </c>
      <c r="F81" s="139">
        <v>3981</v>
      </c>
      <c r="G81" s="139">
        <v>665913</v>
      </c>
      <c r="H81" s="141">
        <v>1656068</v>
      </c>
      <c r="I81" s="43">
        <v>2757425</v>
      </c>
    </row>
    <row r="82" spans="1:10" x14ac:dyDescent="0.3">
      <c r="B82" s="154">
        <f>'ULTA Q Rev (Acual)'!B82</f>
        <v>45532</v>
      </c>
      <c r="C82" s="1"/>
      <c r="D82" s="139">
        <f>'ULTA Q Rev (Acual)'!C82</f>
        <v>2552087</v>
      </c>
      <c r="E82" s="139">
        <v>81171</v>
      </c>
      <c r="F82" s="139">
        <v>371</v>
      </c>
      <c r="G82" s="139">
        <v>644821</v>
      </c>
      <c r="H82" s="141">
        <v>1573910</v>
      </c>
      <c r="I82" s="43">
        <v>2825585</v>
      </c>
    </row>
    <row r="83" spans="1:10" x14ac:dyDescent="0.3">
      <c r="B83" s="154">
        <f>'ULTA Q Rev (Acual)'!B83</f>
        <v>45631</v>
      </c>
      <c r="C83" s="1"/>
      <c r="D83" s="139">
        <f>'ULTA Q Rev (Acual)'!C83</f>
        <v>2530100</v>
      </c>
      <c r="E83" s="139">
        <v>77997</v>
      </c>
      <c r="F83" s="139">
        <v>-3209</v>
      </c>
      <c r="G83" s="139">
        <v>682259</v>
      </c>
      <c r="H83" s="141">
        <v>1524456</v>
      </c>
      <c r="I83" s="43">
        <v>2883474</v>
      </c>
    </row>
    <row r="84" spans="1:10" x14ac:dyDescent="0.3">
      <c r="B84" s="155">
        <f>'ULTA Q Rev (Acual)'!B84</f>
        <v>45743</v>
      </c>
      <c r="C84" s="138">
        <f>SUM(B81:B84)</f>
        <v>182347</v>
      </c>
      <c r="D84" s="140">
        <f>'ULTA Q Rev (Acual)'!C84</f>
        <v>3487619</v>
      </c>
      <c r="E84" s="140">
        <v>125045</v>
      </c>
      <c r="F84" s="140">
        <v>262</v>
      </c>
      <c r="G84" s="140">
        <v>815599</v>
      </c>
      <c r="H84" s="142">
        <v>2153967</v>
      </c>
      <c r="I84" s="44">
        <v>2849165</v>
      </c>
    </row>
    <row r="85" spans="1:10" x14ac:dyDescent="0.3">
      <c r="B85" s="154">
        <f>'ULTA Q Rev (Acual)'!B85</f>
        <v>45806</v>
      </c>
      <c r="C85" s="1"/>
      <c r="D85" s="139">
        <f>'ULTA Q Rev (Acual)'!C85</f>
        <v>2848367</v>
      </c>
      <c r="E85" s="139">
        <v>99644</v>
      </c>
      <c r="F85" s="139">
        <v>1718</v>
      </c>
      <c r="G85" s="139">
        <v>710613</v>
      </c>
      <c r="H85" s="141">
        <v>1734148</v>
      </c>
      <c r="I85" s="195">
        <v>2910121</v>
      </c>
    </row>
    <row r="86" spans="1:10" x14ac:dyDescent="0.3">
      <c r="B86" s="154">
        <f>'ULTA Q Rev (Acual)'!B86</f>
        <v>45897</v>
      </c>
      <c r="C86" s="1"/>
      <c r="D86" s="139">
        <f>'ULTA Q Rev (Acual)'!C86</f>
        <v>2788469</v>
      </c>
      <c r="E86" s="139">
        <v>84795</v>
      </c>
      <c r="F86" s="139">
        <v>-3692</v>
      </c>
      <c r="G86" s="139">
        <v>741737</v>
      </c>
      <c r="H86" s="235">
        <v>1696773</v>
      </c>
      <c r="I86" s="106">
        <v>3014654</v>
      </c>
    </row>
    <row r="87" spans="1:10" x14ac:dyDescent="0.3">
      <c r="B87" s="155">
        <f>'ULTA Q Rev (Acual)'!B87</f>
        <v>45995</v>
      </c>
      <c r="C87" s="42"/>
      <c r="D87" s="140">
        <f>'ULTA Q Rev (Acual)'!C87</f>
        <v>2857623</v>
      </c>
      <c r="E87" s="140">
        <v>73436</v>
      </c>
      <c r="F87" s="140">
        <v>-9449</v>
      </c>
      <c r="G87" s="140">
        <v>840920</v>
      </c>
      <c r="H87" s="142">
        <v>1701958</v>
      </c>
      <c r="I87" s="44">
        <v>3077308</v>
      </c>
    </row>
    <row r="88" spans="1:10" ht="15" x14ac:dyDescent="0.3">
      <c r="A88" s="23" t="s">
        <v>8</v>
      </c>
      <c r="B88" s="255">
        <v>46108</v>
      </c>
      <c r="C88" s="23" t="s">
        <v>209</v>
      </c>
      <c r="E88" cm="1">
        <f t="array" ref="E88:E93">TREND(E45:E87,B45:B87,B88:B93,TRUE)</f>
        <v>98039.97390263027</v>
      </c>
      <c r="F88" cm="1">
        <f t="array" ref="F88:F93">TREND(F45:F87,B45:B87,B88:B93,TRUE)</f>
        <v>-3197.845256764449</v>
      </c>
      <c r="G88" cm="1">
        <f t="array" ref="G88:G93">TREND(G45:G87,B45:B87,B88:B93,TRUE)</f>
        <v>786354.46352707781</v>
      </c>
      <c r="H88" s="278" cm="1">
        <f t="array" ref="H88:H93">TREND(H13:H87,B13:B87,B88:B93,TRUE)</f>
        <v>1781573.6789120063</v>
      </c>
      <c r="I88" s="144" cm="1">
        <f t="array" ref="I88:I93">TREND(I13:I87,B13:B87,B88:B93,TRUE)</f>
        <v>3042601.1207761094</v>
      </c>
      <c r="J88" s="47"/>
    </row>
    <row r="89" spans="1:10" ht="15" x14ac:dyDescent="0.3">
      <c r="B89" s="255">
        <v>46234</v>
      </c>
      <c r="C89" s="23" t="s">
        <v>228</v>
      </c>
      <c r="E89">
        <v>99978.00893373997</v>
      </c>
      <c r="F89">
        <v>-3056.1185004111612</v>
      </c>
      <c r="G89">
        <v>805786.25002843887</v>
      </c>
      <c r="H89" s="278">
        <v>1815657.7326317038</v>
      </c>
      <c r="I89" s="144">
        <v>3103816.255323045</v>
      </c>
    </row>
    <row r="90" spans="1:10" ht="15" x14ac:dyDescent="0.3">
      <c r="B90" s="255">
        <v>46262</v>
      </c>
      <c r="C90" s="23" t="s">
        <v>237</v>
      </c>
      <c r="E90">
        <v>100408.68338509777</v>
      </c>
      <c r="F90">
        <v>-3024.6236656659821</v>
      </c>
      <c r="G90">
        <v>810104.42480651848</v>
      </c>
      <c r="H90" s="278">
        <v>1823231.9667916372</v>
      </c>
      <c r="I90" s="144">
        <v>3117419.6185556985</v>
      </c>
    </row>
    <row r="91" spans="1:10" ht="15" x14ac:dyDescent="0.3">
      <c r="B91" s="255">
        <v>46360</v>
      </c>
      <c r="C91" s="23" t="s">
        <v>238</v>
      </c>
      <c r="E91">
        <v>101916.04396484978</v>
      </c>
      <c r="F91">
        <v>-2914.3917440578662</v>
      </c>
      <c r="G91">
        <v>825218.03652979899</v>
      </c>
      <c r="H91" s="278">
        <v>1849741.7863514032</v>
      </c>
      <c r="I91" s="144">
        <v>3165031.3898699805</v>
      </c>
    </row>
    <row r="92" spans="1:10" ht="15" x14ac:dyDescent="0.3">
      <c r="B92" s="255">
        <v>46473</v>
      </c>
      <c r="C92" s="23" t="s">
        <v>239</v>
      </c>
      <c r="E92">
        <v>103654.12300068629</v>
      </c>
      <c r="F92">
        <v>-2787.2875895505495</v>
      </c>
      <c r="G92">
        <v>842644.95616990793</v>
      </c>
      <c r="H92" s="278">
        <v>1880309.2313539907</v>
      </c>
      <c r="I92" s="144">
        <v>3219930.6772017553</v>
      </c>
    </row>
    <row r="93" spans="1:10" ht="15" x14ac:dyDescent="0.3">
      <c r="B93" s="237">
        <v>46599</v>
      </c>
      <c r="C93" s="30" t="s">
        <v>228</v>
      </c>
      <c r="D93" s="16"/>
      <c r="E93" s="16">
        <v>105592.15803179611</v>
      </c>
      <c r="F93" s="16">
        <v>-2645.5608331972544</v>
      </c>
      <c r="G93" s="16">
        <v>862076.74267126899</v>
      </c>
      <c r="H93" s="279">
        <v>1914393.2850736883</v>
      </c>
      <c r="I93" s="256">
        <v>3281145.8117486909</v>
      </c>
    </row>
    <row r="94" spans="1:10" x14ac:dyDescent="0.3">
      <c r="B94" s="26" t="s">
        <v>208</v>
      </c>
    </row>
    <row r="95" spans="1:10" x14ac:dyDescent="0.3">
      <c r="B95" s="131"/>
    </row>
    <row r="96" spans="1:10" x14ac:dyDescent="0.3">
      <c r="B96" s="112"/>
    </row>
    <row r="98" spans="8:8" x14ac:dyDescent="0.3">
      <c r="H98" s="220"/>
    </row>
    <row r="99" spans="8:8" x14ac:dyDescent="0.3">
      <c r="H99" s="220"/>
    </row>
    <row r="100" spans="8:8" x14ac:dyDescent="0.3">
      <c r="H100" s="220"/>
    </row>
    <row r="101" spans="8:8" x14ac:dyDescent="0.3">
      <c r="H101" s="220"/>
    </row>
    <row r="102" spans="8:8" x14ac:dyDescent="0.3">
      <c r="H102" s="220"/>
    </row>
    <row r="103" spans="8:8" x14ac:dyDescent="0.3">
      <c r="H103" s="218"/>
    </row>
  </sheetData>
  <phoneticPr fontId="3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76D6E-5035-4505-A682-F0938AD6E365}">
  <dimension ref="A1:F99"/>
  <sheetViews>
    <sheetView zoomScale="39" workbookViewId="0">
      <selection activeCell="L95" sqref="L95"/>
    </sheetView>
  </sheetViews>
  <sheetFormatPr defaultRowHeight="14" x14ac:dyDescent="0.3"/>
  <cols>
    <col min="2" max="2" width="16.90625" customWidth="1"/>
    <col min="3" max="3" width="15.6328125" customWidth="1"/>
    <col min="4" max="4" width="17.6328125" customWidth="1"/>
  </cols>
  <sheetData>
    <row r="1" spans="1:5" x14ac:dyDescent="0.3">
      <c r="B1" s="1"/>
      <c r="C1" s="1"/>
      <c r="D1" s="1"/>
      <c r="E1" s="1"/>
    </row>
    <row r="2" spans="1:5" ht="20" x14ac:dyDescent="0.4">
      <c r="B2" s="113" t="s">
        <v>210</v>
      </c>
      <c r="C2" s="1"/>
      <c r="D2" s="1"/>
      <c r="E2" s="15"/>
    </row>
    <row r="3" spans="1:5" ht="15" x14ac:dyDescent="0.3">
      <c r="A3" s="1"/>
      <c r="B3" s="17" t="s">
        <v>116</v>
      </c>
      <c r="C3" s="1"/>
      <c r="D3" s="1"/>
      <c r="E3" s="15"/>
    </row>
    <row r="4" spans="1:5" ht="17.5" x14ac:dyDescent="0.35">
      <c r="A4" s="1"/>
      <c r="B4" s="45"/>
      <c r="C4" s="42"/>
      <c r="D4" s="42"/>
      <c r="E4" s="15"/>
    </row>
    <row r="5" spans="1:5" x14ac:dyDescent="0.3">
      <c r="A5" s="11"/>
      <c r="B5" s="10" t="s">
        <v>0</v>
      </c>
      <c r="C5" s="10" t="s">
        <v>43</v>
      </c>
      <c r="D5" s="10" t="s">
        <v>2</v>
      </c>
      <c r="E5" s="1"/>
    </row>
    <row r="6" spans="1:5" x14ac:dyDescent="0.3">
      <c r="A6" s="11" t="s">
        <v>97</v>
      </c>
      <c r="B6" s="154">
        <f>'ULTA Q Rev (Acual)'!B5</f>
        <v>38472</v>
      </c>
      <c r="C6" s="2">
        <f>'ULTA Q Rev (Acual)'!C5</f>
        <v>144769</v>
      </c>
      <c r="E6" s="15"/>
    </row>
    <row r="7" spans="1:5" x14ac:dyDescent="0.3">
      <c r="B7" s="154">
        <f>'ULTA Q Rev (Acual)'!B6</f>
        <v>38564</v>
      </c>
      <c r="C7" s="2">
        <f>'ULTA Q Rev (Acual)'!C6</f>
        <v>144769</v>
      </c>
    </row>
    <row r="8" spans="1:5" x14ac:dyDescent="0.3">
      <c r="B8" s="154">
        <f>'ULTA Q Rev (Acual)'!B7</f>
        <v>38656</v>
      </c>
      <c r="C8" s="2">
        <f>'ULTA Q Rev (Acual)'!C7</f>
        <v>144769</v>
      </c>
      <c r="D8" s="151">
        <f>AVERAGE(AVERAGE(C6:C9),AVERAGE(C7:C10))</f>
        <v>146606.125</v>
      </c>
    </row>
    <row r="9" spans="1:5" x14ac:dyDescent="0.3">
      <c r="B9" s="154">
        <f>'ULTA Q Rev (Acual)'!B8</f>
        <v>38748</v>
      </c>
      <c r="C9" s="2">
        <f>'ULTA Q Rev (Acual)'!C8</f>
        <v>144768</v>
      </c>
      <c r="D9" s="151">
        <f t="shared" ref="D9:D72" si="0">AVERAGE(AVERAGE(C7:C10),AVERAGE(C8:C11))</f>
        <v>150667.125</v>
      </c>
    </row>
    <row r="10" spans="1:5" x14ac:dyDescent="0.3">
      <c r="B10" s="154">
        <f>'ULTA Q Rev (Acual)'!B9</f>
        <v>38837</v>
      </c>
      <c r="C10" s="2">
        <f>'ULTA Q Rev (Acual)'!C9</f>
        <v>159468</v>
      </c>
      <c r="D10" s="151">
        <f t="shared" si="0"/>
        <v>161862.625</v>
      </c>
    </row>
    <row r="11" spans="1:5" x14ac:dyDescent="0.3">
      <c r="B11" s="154">
        <f>'ULTA Q Rev (Acual)'!B10</f>
        <v>38929</v>
      </c>
      <c r="C11" s="2">
        <f>'ULTA Q Rev (Acual)'!C10</f>
        <v>162558</v>
      </c>
      <c r="D11" s="151">
        <f t="shared" si="0"/>
        <v>179806.375</v>
      </c>
    </row>
    <row r="12" spans="1:5" x14ac:dyDescent="0.3">
      <c r="B12" s="154">
        <f>'ULTA Q Rev (Acual)'!B11</f>
        <v>39021</v>
      </c>
      <c r="C12" s="2">
        <f>'ULTA Q Rev (Acual)'!C11</f>
        <v>216544</v>
      </c>
      <c r="D12" s="151">
        <f t="shared" si="0"/>
        <v>193108.875</v>
      </c>
    </row>
    <row r="13" spans="1:5" x14ac:dyDescent="0.3">
      <c r="B13" s="154">
        <f>'ULTA Q Rev (Acual)'!B12</f>
        <v>39113</v>
      </c>
      <c r="C13" s="2">
        <f>'ULTA Q Rev (Acual)'!C12</f>
        <v>216543</v>
      </c>
      <c r="D13" s="151">
        <f t="shared" si="0"/>
        <v>202175.875</v>
      </c>
    </row>
    <row r="14" spans="1:5" x14ac:dyDescent="0.3">
      <c r="B14" s="154">
        <f>'ULTA Q Rev (Acual)'!B13</f>
        <v>39202</v>
      </c>
      <c r="C14" s="2">
        <f>'ULTA Q Rev (Acual)'!C13</f>
        <v>194113</v>
      </c>
      <c r="D14" s="151">
        <f t="shared" si="0"/>
        <v>205873.625</v>
      </c>
    </row>
    <row r="15" spans="1:5" x14ac:dyDescent="0.3">
      <c r="B15" s="154">
        <f>'ULTA Q Rev (Acual)'!B14</f>
        <v>39293</v>
      </c>
      <c r="C15" s="2">
        <f>'ULTA Q Rev (Acual)'!C14</f>
        <v>200449</v>
      </c>
      <c r="D15" s="151">
        <f t="shared" si="0"/>
        <v>216435.125</v>
      </c>
    </row>
    <row r="16" spans="1:5" x14ac:dyDescent="0.3">
      <c r="B16" s="154">
        <f>'ULTA Q Rev (Acual)'!B15</f>
        <v>39386</v>
      </c>
      <c r="C16" s="2">
        <f>'ULTA Q Rev (Acual)'!C15</f>
        <v>208235</v>
      </c>
      <c r="D16" s="151">
        <f t="shared" si="0"/>
        <v>233683.375</v>
      </c>
    </row>
    <row r="17" spans="2:4" x14ac:dyDescent="0.3">
      <c r="B17" s="154">
        <f>'ULTA Q Rev (Acual)'!B16</f>
        <v>39478</v>
      </c>
      <c r="C17" s="2">
        <f>'ULTA Q Rev (Acual)'!C16</f>
        <v>309344</v>
      </c>
      <c r="D17" s="151">
        <f t="shared" si="0"/>
        <v>245414.25</v>
      </c>
    </row>
    <row r="18" spans="2:4" x14ac:dyDescent="0.3">
      <c r="B18" s="154">
        <f>'ULTA Q Rev (Acual)'!B17</f>
        <v>39568</v>
      </c>
      <c r="C18" s="2">
        <f>'ULTA Q Rev (Acual)'!C17</f>
        <v>239298</v>
      </c>
      <c r="D18" s="151">
        <f t="shared" si="0"/>
        <v>257323</v>
      </c>
    </row>
    <row r="19" spans="2:4" x14ac:dyDescent="0.3">
      <c r="B19" s="154">
        <f>'ULTA Q Rev (Acual)'!B18</f>
        <v>39660</v>
      </c>
      <c r="C19" s="2">
        <f>'ULTA Q Rev (Acual)'!C18</f>
        <v>249111</v>
      </c>
      <c r="D19" s="151">
        <f t="shared" si="0"/>
        <v>267155.25</v>
      </c>
    </row>
    <row r="20" spans="2:4" x14ac:dyDescent="0.3">
      <c r="B20" s="154">
        <f>'ULTA Q Rev (Acual)'!B19</f>
        <v>39752</v>
      </c>
      <c r="C20" s="2">
        <f>'ULTA Q Rev (Acual)'!C19</f>
        <v>254843</v>
      </c>
      <c r="D20" s="151">
        <f t="shared" si="0"/>
        <v>274852.375</v>
      </c>
    </row>
    <row r="21" spans="2:4" x14ac:dyDescent="0.3">
      <c r="B21" s="154">
        <f>'ULTA Q Rev (Acual)'!B20</f>
        <v>39844</v>
      </c>
      <c r="C21" s="2">
        <f>'ULTA Q Rev (Acual)'!C20</f>
        <v>341394</v>
      </c>
      <c r="D21" s="151">
        <f t="shared" si="0"/>
        <v>281596.75</v>
      </c>
    </row>
    <row r="22" spans="2:4" x14ac:dyDescent="0.3">
      <c r="B22" s="154">
        <f>'ULTA Q Rev (Acual)'!B21</f>
        <v>39933</v>
      </c>
      <c r="C22" s="2">
        <f>'ULTA Q Rev (Acual)'!C21</f>
        <v>268825</v>
      </c>
      <c r="D22" s="151">
        <f t="shared" si="0"/>
        <v>288300.25</v>
      </c>
    </row>
    <row r="23" spans="2:4" x14ac:dyDescent="0.3">
      <c r="B23" s="154">
        <f>'ULTA Q Rev (Acual)'!B22</f>
        <v>40025</v>
      </c>
      <c r="C23" s="2">
        <f>'ULTA Q Rev (Acual)'!C22</f>
        <v>273539</v>
      </c>
      <c r="D23" s="151">
        <f t="shared" si="0"/>
        <v>298821.5</v>
      </c>
    </row>
    <row r="24" spans="2:4" x14ac:dyDescent="0.3">
      <c r="B24" s="154">
        <f>'ULTA Q Rev (Acual)'!B23</f>
        <v>40117</v>
      </c>
      <c r="C24" s="2">
        <f>'ULTA Q Rev (Acual)'!C23</f>
        <v>284043</v>
      </c>
      <c r="D24" s="151">
        <f t="shared" si="0"/>
        <v>312114.125</v>
      </c>
    </row>
    <row r="25" spans="2:4" x14ac:dyDescent="0.3">
      <c r="B25" s="154">
        <f>'ULTA Q Rev (Acual)'!B24</f>
        <v>40209</v>
      </c>
      <c r="C25" s="2">
        <f>'ULTA Q Rev (Acual)'!C24</f>
        <v>396364</v>
      </c>
      <c r="D25" s="151">
        <f t="shared" si="0"/>
        <v>324568.625</v>
      </c>
    </row>
    <row r="26" spans="2:4" x14ac:dyDescent="0.3">
      <c r="B26" s="154">
        <f>'ULTA Q Rev (Acual)'!B25</f>
        <v>40298</v>
      </c>
      <c r="C26" s="2">
        <f>'ULTA Q Rev (Acual)'!C25</f>
        <v>320196</v>
      </c>
      <c r="D26" s="151">
        <f t="shared" si="0"/>
        <v>337493.75</v>
      </c>
    </row>
    <row r="27" spans="2:4" x14ac:dyDescent="0.3">
      <c r="B27" s="154">
        <f>'ULTA Q Rev (Acual)'!B26</f>
        <v>40390</v>
      </c>
      <c r="C27" s="2">
        <f>'ULTA Q Rev (Acual)'!C26</f>
        <v>321804</v>
      </c>
      <c r="D27" s="151">
        <f t="shared" si="0"/>
        <v>354047.625</v>
      </c>
    </row>
    <row r="28" spans="2:4" x14ac:dyDescent="0.3">
      <c r="B28" s="154">
        <f>'ULTA Q Rev (Acual)'!B27</f>
        <v>40482</v>
      </c>
      <c r="C28" s="2">
        <f>'ULTA Q Rev (Acual)'!C27</f>
        <v>339179</v>
      </c>
      <c r="D28" s="151">
        <f t="shared" si="0"/>
        <v>371935.75</v>
      </c>
    </row>
    <row r="29" spans="2:4" x14ac:dyDescent="0.3">
      <c r="B29" s="154">
        <f>'ULTA Q Rev (Acual)'!B28</f>
        <v>40574</v>
      </c>
      <c r="C29" s="2">
        <f>'ULTA Q Rev (Acual)'!C28</f>
        <v>473659</v>
      </c>
      <c r="D29" s="151">
        <f t="shared" si="0"/>
        <v>389257.375</v>
      </c>
    </row>
    <row r="30" spans="2:4" x14ac:dyDescent="0.3">
      <c r="B30" s="154">
        <f>'ULTA Q Rev (Acual)'!B29</f>
        <v>40663</v>
      </c>
      <c r="C30" s="2">
        <f>'ULTA Q Rev (Acual)'!C29</f>
        <v>386006</v>
      </c>
      <c r="D30" s="151">
        <f t="shared" si="0"/>
        <v>407588.75</v>
      </c>
    </row>
    <row r="31" spans="2:4" x14ac:dyDescent="0.3">
      <c r="B31" s="154">
        <f>'ULTA Q Rev (Acual)'!B30</f>
        <v>40755</v>
      </c>
      <c r="C31" s="2">
        <f>'ULTA Q Rev (Acual)'!C30</f>
        <v>394567</v>
      </c>
      <c r="D31" s="151">
        <f t="shared" si="0"/>
        <v>430431.25</v>
      </c>
    </row>
    <row r="32" spans="2:4" x14ac:dyDescent="0.3">
      <c r="B32" s="154">
        <f>'ULTA Q Rev (Acual)'!B31</f>
        <v>40847</v>
      </c>
      <c r="C32" s="2">
        <f>'ULTA Q Rev (Acual)'!C31</f>
        <v>413067</v>
      </c>
      <c r="D32" s="151">
        <f t="shared" si="0"/>
        <v>455049.25</v>
      </c>
    </row>
    <row r="33" spans="2:4" x14ac:dyDescent="0.3">
      <c r="B33" s="154">
        <f>'ULTA Q Rev (Acual)'!B32</f>
        <v>40939</v>
      </c>
      <c r="C33" s="2">
        <f>'ULTA Q Rev (Acual)'!C32</f>
        <v>582511</v>
      </c>
      <c r="D33" s="151">
        <f t="shared" si="0"/>
        <v>476950.25</v>
      </c>
    </row>
    <row r="34" spans="2:4" x14ac:dyDescent="0.3">
      <c r="B34" s="154">
        <f>'ULTA Q Rev (Acual)'!B33</f>
        <v>41029</v>
      </c>
      <c r="C34" s="2">
        <f>'ULTA Q Rev (Acual)'!C33</f>
        <v>474098</v>
      </c>
      <c r="D34" s="151">
        <f t="shared" si="0"/>
        <v>499411.375</v>
      </c>
    </row>
    <row r="35" spans="2:4" x14ac:dyDescent="0.3">
      <c r="B35" s="154">
        <f>'ULTA Q Rev (Acual)'!B34</f>
        <v>41121</v>
      </c>
      <c r="C35" s="2">
        <f>'ULTA Q Rev (Acual)'!C34</f>
        <v>481683</v>
      </c>
      <c r="D35" s="151">
        <f t="shared" si="0"/>
        <v>533023.5</v>
      </c>
    </row>
    <row r="36" spans="2:4" x14ac:dyDescent="0.3">
      <c r="B36" s="154">
        <f>'ULTA Q Rev (Acual)'!B35</f>
        <v>41213</v>
      </c>
      <c r="C36" s="2">
        <f>'ULTA Q Rev (Acual)'!C35</f>
        <v>505640</v>
      </c>
      <c r="D36" s="151">
        <f t="shared" si="0"/>
        <v>568640.75</v>
      </c>
    </row>
    <row r="37" spans="2:4" x14ac:dyDescent="0.3">
      <c r="B37" s="154">
        <f>'ULTA Q Rev (Acual)'!B36</f>
        <v>41365</v>
      </c>
      <c r="C37" s="2">
        <f>'ULTA Q Rev (Acual)'!C36</f>
        <v>758835</v>
      </c>
      <c r="D37" s="151">
        <f t="shared" si="0"/>
        <v>597131.875</v>
      </c>
    </row>
    <row r="38" spans="2:4" x14ac:dyDescent="0.3">
      <c r="B38" s="154">
        <f>'ULTA Q Rev (Acual)'!B37</f>
        <v>41435</v>
      </c>
      <c r="C38" s="2">
        <f>'ULTA Q Rev (Acual)'!C37</f>
        <v>582712</v>
      </c>
      <c r="D38" s="151">
        <f t="shared" si="0"/>
        <v>626188.875</v>
      </c>
    </row>
    <row r="39" spans="2:4" x14ac:dyDescent="0.3">
      <c r="B39" s="154">
        <f>'ULTA Q Rev (Acual)'!B38</f>
        <v>41528</v>
      </c>
      <c r="C39" s="2">
        <f>'ULTA Q Rev (Acual)'!C38</f>
        <v>600998</v>
      </c>
      <c r="D39" s="151">
        <f t="shared" si="0"/>
        <v>653987.375</v>
      </c>
    </row>
    <row r="40" spans="2:4" x14ac:dyDescent="0.3">
      <c r="B40" s="154">
        <f>'ULTA Q Rev (Acual)'!B39</f>
        <v>41612</v>
      </c>
      <c r="C40" s="2">
        <f>'ULTA Q Rev (Acual)'!C39</f>
        <v>618781</v>
      </c>
      <c r="D40" s="151">
        <f t="shared" si="0"/>
        <v>684025.5</v>
      </c>
    </row>
    <row r="41" spans="2:4" x14ac:dyDescent="0.3">
      <c r="B41" s="154">
        <f>'ULTA Q Rev (Acual)'!B40</f>
        <v>41728</v>
      </c>
      <c r="C41" s="2">
        <f>'ULTA Q Rev (Acual)'!C40</f>
        <v>868082</v>
      </c>
      <c r="D41" s="151">
        <f t="shared" si="0"/>
        <v>717062.5</v>
      </c>
    </row>
    <row r="42" spans="2:4" x14ac:dyDescent="0.3">
      <c r="B42" s="154">
        <f>'ULTA Q Rev (Acual)'!B41</f>
        <v>41794</v>
      </c>
      <c r="C42" s="2">
        <f>'ULTA Q Rev (Acual)'!C41</f>
        <v>713770</v>
      </c>
      <c r="D42" s="151">
        <f t="shared" si="0"/>
        <v>749584.875</v>
      </c>
    </row>
    <row r="43" spans="2:4" x14ac:dyDescent="0.3">
      <c r="B43" s="154">
        <f>'ULTA Q Rev (Acual)'!B42</f>
        <v>41823</v>
      </c>
      <c r="C43" s="2">
        <f>'ULTA Q Rev (Acual)'!C42</f>
        <v>734236</v>
      </c>
      <c r="D43" s="151">
        <f t="shared" si="0"/>
        <v>787897.375</v>
      </c>
    </row>
    <row r="44" spans="2:4" x14ac:dyDescent="0.3">
      <c r="B44" s="154">
        <f>'ULTA Q Rev (Acual)'!B43</f>
        <v>41976</v>
      </c>
      <c r="C44" s="2">
        <f>'ULTA Q Rev (Acual)'!C43</f>
        <v>745722</v>
      </c>
      <c r="D44" s="151">
        <f t="shared" si="0"/>
        <v>829636.25</v>
      </c>
    </row>
    <row r="45" spans="2:4" x14ac:dyDescent="0.3">
      <c r="B45" s="154">
        <f>'ULTA Q Rev (Acual)'!B44</f>
        <v>42091</v>
      </c>
      <c r="C45" s="2">
        <f>'ULTA Q Rev (Acual)'!C44</f>
        <v>1047641</v>
      </c>
      <c r="D45" s="151">
        <f t="shared" si="0"/>
        <v>866775.625</v>
      </c>
    </row>
    <row r="46" spans="2:4" x14ac:dyDescent="0.3">
      <c r="B46" s="154">
        <f>'ULTA Q Rev (Acual)'!B45</f>
        <v>42157</v>
      </c>
      <c r="C46" s="2">
        <f>'ULTA Q Rev (Acual)'!C45</f>
        <v>868122</v>
      </c>
      <c r="D46" s="151">
        <f t="shared" si="0"/>
        <v>905243.25</v>
      </c>
    </row>
    <row r="47" spans="2:4" x14ac:dyDescent="0.3">
      <c r="B47" s="154">
        <f>'ULTA Q Rev (Acual)'!B46</f>
        <v>42241</v>
      </c>
      <c r="C47" s="2">
        <f>'ULTA Q Rev (Acual)'!C46</f>
        <v>876999</v>
      </c>
      <c r="D47" s="151">
        <f t="shared" si="0"/>
        <v>953447.25</v>
      </c>
    </row>
    <row r="48" spans="2:4" x14ac:dyDescent="0.3">
      <c r="B48" s="154">
        <f>'ULTA Q Rev (Acual)'!B47</f>
        <v>42339</v>
      </c>
      <c r="C48" s="2">
        <f>'ULTA Q Rev (Acual)'!C47</f>
        <v>910700</v>
      </c>
      <c r="D48" s="151">
        <f t="shared" si="0"/>
        <v>1006728.25</v>
      </c>
    </row>
    <row r="49" spans="2:4" x14ac:dyDescent="0.3">
      <c r="B49" s="154">
        <f>'ULTA Q Rev (Acual)'!B48</f>
        <v>42463</v>
      </c>
      <c r="C49" s="2">
        <f>'ULTA Q Rev (Acual)'!C48</f>
        <v>1268295</v>
      </c>
      <c r="D49" s="151">
        <f t="shared" si="0"/>
        <v>1056454.5</v>
      </c>
    </row>
    <row r="50" spans="2:4" x14ac:dyDescent="0.3">
      <c r="B50" s="154">
        <f>'ULTA Q Rev (Acual)'!B49</f>
        <v>42522</v>
      </c>
      <c r="C50" s="2">
        <f>'ULTA Q Rev (Acual)'!C49</f>
        <v>1073716</v>
      </c>
      <c r="D50" s="151">
        <f t="shared" si="0"/>
        <v>1108048</v>
      </c>
    </row>
    <row r="51" spans="2:4" x14ac:dyDescent="0.3">
      <c r="B51" s="154">
        <f>'ULTA Q Rev (Acual)'!B50</f>
        <v>42613</v>
      </c>
      <c r="C51" s="2">
        <f>'ULTA Q Rev (Acual)'!C50</f>
        <v>1069215</v>
      </c>
      <c r="D51" s="151">
        <f t="shared" si="0"/>
        <v>1174649.375</v>
      </c>
    </row>
    <row r="52" spans="2:4" x14ac:dyDescent="0.3">
      <c r="B52" s="154">
        <f>'ULTA Q Rev (Acual)'!B51</f>
        <v>42704</v>
      </c>
      <c r="C52" s="2">
        <f>'ULTA Q Rev (Acual)'!C51</f>
        <v>1131232</v>
      </c>
      <c r="D52" s="151">
        <f t="shared" si="0"/>
        <v>1243829.625</v>
      </c>
    </row>
    <row r="53" spans="2:4" x14ac:dyDescent="0.3">
      <c r="B53" s="154">
        <f>'ULTA Q Rev (Acual)'!B52</f>
        <v>42827</v>
      </c>
      <c r="C53" s="2">
        <f>'ULTA Q Rev (Acual)'!C52</f>
        <v>1580574</v>
      </c>
      <c r="D53" s="151">
        <f t="shared" si="0"/>
        <v>1301554.875</v>
      </c>
    </row>
    <row r="54" spans="2:4" x14ac:dyDescent="0.3">
      <c r="B54" s="154">
        <f>'ULTA Q Rev (Acual)'!B53</f>
        <v>42887</v>
      </c>
      <c r="C54" s="2">
        <f>'ULTA Q Rev (Acual)'!C53</f>
        <v>1314879</v>
      </c>
      <c r="D54" s="151">
        <f t="shared" si="0"/>
        <v>1355503.375</v>
      </c>
    </row>
    <row r="55" spans="2:4" x14ac:dyDescent="0.3">
      <c r="B55" s="154">
        <f>'ULTA Q Rev (Acual)'!B54</f>
        <v>42977</v>
      </c>
      <c r="C55" s="2">
        <f>'ULTA Q Rev (Acual)'!C54</f>
        <v>1289854</v>
      </c>
      <c r="D55" s="151">
        <f t="shared" si="0"/>
        <v>1426499.25</v>
      </c>
    </row>
    <row r="56" spans="2:4" x14ac:dyDescent="0.3">
      <c r="B56" s="154">
        <f>'ULTA Q Rev (Acual)'!B55</f>
        <v>43075</v>
      </c>
      <c r="C56" s="2">
        <f>'ULTA Q Rev (Acual)'!C55</f>
        <v>1342181</v>
      </c>
      <c r="D56" s="151">
        <f t="shared" si="0"/>
        <v>1499725</v>
      </c>
    </row>
    <row r="57" spans="2:4" x14ac:dyDescent="0.3">
      <c r="B57" s="154">
        <f>'ULTA Q Rev (Acual)'!B56</f>
        <v>43186</v>
      </c>
      <c r="C57" s="2">
        <f>'ULTA Q Rev (Acual)'!C56</f>
        <v>1937592</v>
      </c>
      <c r="D57" s="151">
        <f t="shared" si="0"/>
        <v>1553119.375</v>
      </c>
    </row>
    <row r="58" spans="2:4" x14ac:dyDescent="0.3">
      <c r="B58" s="154">
        <f>'ULTA Q Rev (Acual)'!B57</f>
        <v>43250</v>
      </c>
      <c r="C58" s="2">
        <f>'ULTA Q Rev (Acual)'!C57</f>
        <v>1543667</v>
      </c>
      <c r="D58" s="151">
        <f t="shared" si="0"/>
        <v>1605144</v>
      </c>
    </row>
    <row r="59" spans="2:4" x14ac:dyDescent="0.3">
      <c r="B59" s="154">
        <f>'ULTA Q Rev (Acual)'!B58</f>
        <v>43341</v>
      </c>
      <c r="C59" s="2">
        <f>'ULTA Q Rev (Acual)'!C58</f>
        <v>1488221</v>
      </c>
      <c r="D59" s="151">
        <f t="shared" si="0"/>
        <v>1655763.25</v>
      </c>
    </row>
    <row r="60" spans="2:4" x14ac:dyDescent="0.3">
      <c r="B60" s="154">
        <f>'ULTA Q Rev (Acual)'!B59</f>
        <v>43439</v>
      </c>
      <c r="C60" s="2">
        <f>'ULTA Q Rev (Acual)'!C59</f>
        <v>1560011</v>
      </c>
      <c r="D60" s="151">
        <f t="shared" si="0"/>
        <v>1704074</v>
      </c>
    </row>
    <row r="61" spans="2:4" x14ac:dyDescent="0.3">
      <c r="B61" s="154">
        <f>'ULTA Q Rev (Acual)'!B60</f>
        <v>43550</v>
      </c>
      <c r="C61" s="2">
        <f>'ULTA Q Rev (Acual)'!C60</f>
        <v>2124716</v>
      </c>
      <c r="D61" s="151">
        <f t="shared" si="0"/>
        <v>1751292.5</v>
      </c>
    </row>
    <row r="62" spans="2:4" x14ac:dyDescent="0.3">
      <c r="B62" s="154">
        <f>'ULTA Q Rev (Acual)'!B61</f>
        <v>43613</v>
      </c>
      <c r="C62" s="2">
        <f>'ULTA Q Rev (Acual)'!C61</f>
        <v>1743029</v>
      </c>
      <c r="D62" s="151">
        <f t="shared" si="0"/>
        <v>1788903.625</v>
      </c>
    </row>
    <row r="63" spans="2:4" x14ac:dyDescent="0.3">
      <c r="B63" s="154">
        <f>'ULTA Q Rev (Acual)'!B62</f>
        <v>43704</v>
      </c>
      <c r="C63" s="2">
        <f>'ULTA Q Rev (Acual)'!C62</f>
        <v>1666607</v>
      </c>
      <c r="D63" s="151">
        <f t="shared" si="0"/>
        <v>1826866.75</v>
      </c>
    </row>
    <row r="64" spans="2:4" x14ac:dyDescent="0.3">
      <c r="B64" s="154">
        <f>'ULTA Q Rev (Acual)'!B63</f>
        <v>43802</v>
      </c>
      <c r="C64" s="2">
        <f>'ULTA Q Rev (Acual)'!C63</f>
        <v>1682514</v>
      </c>
      <c r="D64" s="151">
        <f t="shared" si="0"/>
        <v>1778289.625</v>
      </c>
    </row>
    <row r="65" spans="2:4" x14ac:dyDescent="0.3">
      <c r="B65" s="154">
        <f>'ULTA Q Rev (Acual)'!B64</f>
        <v>43915</v>
      </c>
      <c r="C65" s="2">
        <f>'ULTA Q Rev (Acual)'!C64</f>
        <v>2305918</v>
      </c>
      <c r="D65" s="151">
        <f t="shared" si="0"/>
        <v>1652237.5</v>
      </c>
    </row>
    <row r="66" spans="2:4" x14ac:dyDescent="0.3">
      <c r="B66" s="154">
        <f>'ULTA Q Rev (Acual)'!B65</f>
        <v>43978</v>
      </c>
      <c r="C66" s="2">
        <f>'ULTA Q Rev (Acual)'!C65</f>
        <v>1173210</v>
      </c>
      <c r="D66" s="151">
        <f t="shared" si="0"/>
        <v>1581102.625</v>
      </c>
    </row>
    <row r="67" spans="2:4" x14ac:dyDescent="0.3">
      <c r="B67" s="154">
        <f>'ULTA Q Rev (Acual)'!B66</f>
        <v>44068</v>
      </c>
      <c r="C67" s="2">
        <f>'ULTA Q Rev (Acual)'!C66</f>
        <v>1228009</v>
      </c>
      <c r="D67" s="151">
        <f t="shared" si="0"/>
        <v>1551390.375</v>
      </c>
    </row>
    <row r="68" spans="2:4" x14ac:dyDescent="0.3">
      <c r="B68" s="154">
        <f>'ULTA Q Rev (Acual)'!B67</f>
        <v>44167</v>
      </c>
      <c r="C68" s="2">
        <f>'ULTA Q Rev (Acual)'!C67</f>
        <v>1552033</v>
      </c>
      <c r="D68" s="151">
        <f t="shared" si="0"/>
        <v>1633651.875</v>
      </c>
    </row>
    <row r="69" spans="2:4" x14ac:dyDescent="0.3">
      <c r="B69" s="154">
        <f>'ULTA Q Rev (Acual)'!B68</f>
        <v>44279</v>
      </c>
      <c r="C69" s="2">
        <f>'ULTA Q Rev (Acual)'!C68</f>
        <v>2198701</v>
      </c>
      <c r="D69" s="151">
        <f t="shared" si="0"/>
        <v>1821715.25</v>
      </c>
    </row>
    <row r="70" spans="2:4" x14ac:dyDescent="0.3">
      <c r="B70" s="154">
        <f>'ULTA Q Rev (Acual)'!B69</f>
        <v>44342</v>
      </c>
      <c r="C70" s="2">
        <f>'ULTA Q Rev (Acual)'!C69</f>
        <v>1938519</v>
      </c>
      <c r="D70" s="151">
        <f t="shared" si="0"/>
        <v>1969582.75</v>
      </c>
    </row>
    <row r="71" spans="2:4" x14ac:dyDescent="0.3">
      <c r="B71" s="154">
        <f>'ULTA Q Rev (Acual)'!B70</f>
        <v>44433</v>
      </c>
      <c r="C71" s="2">
        <f>'ULTA Q Rev (Acual)'!C70</f>
        <v>1967207</v>
      </c>
      <c r="D71" s="151">
        <f t="shared" si="0"/>
        <v>2091386.375</v>
      </c>
    </row>
    <row r="72" spans="2:4" x14ac:dyDescent="0.3">
      <c r="B72" s="154">
        <f>'ULTA Q Rev (Acual)'!B71</f>
        <v>44531</v>
      </c>
      <c r="C72" s="2">
        <f>'ULTA Q Rev (Acual)'!C71</f>
        <v>1995775</v>
      </c>
      <c r="D72" s="151">
        <f t="shared" si="0"/>
        <v>2208645</v>
      </c>
    </row>
    <row r="73" spans="2:4" x14ac:dyDescent="0.3">
      <c r="B73" s="154">
        <f>'ULTA Q Rev (Acual)'!B72</f>
        <v>44646</v>
      </c>
      <c r="C73" s="2">
        <f>'ULTA Q Rev (Acual)'!C72</f>
        <v>2729388</v>
      </c>
      <c r="D73" s="151">
        <f t="shared" ref="D73:D92" si="1">AVERAGE(AVERAGE(C71:C74),AVERAGE(C72:C75))</f>
        <v>2300806</v>
      </c>
    </row>
    <row r="74" spans="2:4" x14ac:dyDescent="0.3">
      <c r="B74" s="154">
        <f>'ULTA Q Rev (Acual)'!B73</f>
        <v>44706</v>
      </c>
      <c r="C74" s="2">
        <f>'ULTA Q Rev (Acual)'!C73</f>
        <v>2345901</v>
      </c>
      <c r="D74" s="151">
        <f t="shared" si="1"/>
        <v>2384921.5</v>
      </c>
    </row>
    <row r="75" spans="2:4" x14ac:dyDescent="0.3">
      <c r="B75" s="154">
        <f>'ULTA Q Rev (Acual)'!B74</f>
        <v>44797</v>
      </c>
      <c r="C75" s="2">
        <f>'ULTA Q Rev (Acual)'!C74</f>
        <v>2297113</v>
      </c>
      <c r="D75" s="151">
        <f t="shared" si="1"/>
        <v>2489971.875</v>
      </c>
    </row>
    <row r="76" spans="2:4" x14ac:dyDescent="0.3">
      <c r="B76" s="154">
        <f>'ULTA Q Rev (Acual)'!B75</f>
        <v>44895</v>
      </c>
      <c r="C76" s="2">
        <f>'ULTA Q Rev (Acual)'!C75</f>
        <v>2338793</v>
      </c>
      <c r="D76" s="151">
        <f t="shared" si="1"/>
        <v>2588190.25</v>
      </c>
    </row>
    <row r="77" spans="2:4" x14ac:dyDescent="0.3">
      <c r="B77" s="154">
        <f>'ULTA Q Rev (Acual)'!B76</f>
        <v>45012</v>
      </c>
      <c r="C77" s="2">
        <f>'ULTA Q Rev (Acual)'!C76</f>
        <v>3226773</v>
      </c>
      <c r="D77" s="151">
        <f t="shared" si="1"/>
        <v>2653322.5</v>
      </c>
    </row>
    <row r="78" spans="2:4" x14ac:dyDescent="0.3">
      <c r="B78" s="154">
        <f>'ULTA Q Rev (Acual)'!B77</f>
        <v>45076</v>
      </c>
      <c r="C78" s="2">
        <f>'ULTA Q Rev (Acual)'!C77</f>
        <v>2634263</v>
      </c>
      <c r="D78" s="151">
        <f t="shared" si="1"/>
        <v>2701177</v>
      </c>
    </row>
    <row r="79" spans="2:4" x14ac:dyDescent="0.3">
      <c r="B79" s="154">
        <f>'ULTA Q Rev (Acual)'!B78</f>
        <v>45167</v>
      </c>
      <c r="C79" s="2">
        <f>'ULTA Q Rev (Acual)'!C78</f>
        <v>2529809</v>
      </c>
      <c r="D79" s="151">
        <f t="shared" si="1"/>
        <v>2760885.125</v>
      </c>
    </row>
    <row r="80" spans="2:4" x14ac:dyDescent="0.3">
      <c r="B80" s="154">
        <f>'ULTA Q Rev (Acual)'!B79</f>
        <v>45265</v>
      </c>
      <c r="C80" s="2">
        <f>'ULTA Q Rev (Acual)'!C79</f>
        <v>2488933</v>
      </c>
      <c r="D80" s="151">
        <f t="shared" si="1"/>
        <v>2813273.875</v>
      </c>
    </row>
    <row r="81" spans="1:6" x14ac:dyDescent="0.3">
      <c r="B81" s="154">
        <f>'ULTA Q Rev (Acual)'!B80</f>
        <v>45378</v>
      </c>
      <c r="C81" s="2">
        <f>'ULTA Q Rev (Acual)'!C80</f>
        <v>3554298</v>
      </c>
      <c r="D81" s="151">
        <f t="shared" si="1"/>
        <v>2827506.75</v>
      </c>
    </row>
    <row r="82" spans="1:6" x14ac:dyDescent="0.3">
      <c r="B82" s="154">
        <f>'ULTA Q Rev (Acual)'!B81</f>
        <v>45441</v>
      </c>
      <c r="C82" s="2">
        <f>'ULTA Q Rev (Acual)'!C81</f>
        <v>2725848</v>
      </c>
      <c r="D82" s="151">
        <f t="shared" si="1"/>
        <v>2835437.375</v>
      </c>
    </row>
    <row r="83" spans="1:6" x14ac:dyDescent="0.3">
      <c r="B83" s="154">
        <f>'ULTA Q Rev (Acual)'!B82</f>
        <v>45532</v>
      </c>
      <c r="C83" s="2">
        <f>'ULTA Q Rev (Acual)'!C82</f>
        <v>2552087</v>
      </c>
      <c r="D83" s="151">
        <f t="shared" si="1"/>
        <v>2832248.375</v>
      </c>
    </row>
    <row r="84" spans="1:6" x14ac:dyDescent="0.3">
      <c r="B84" s="154">
        <f>'ULTA Q Rev (Acual)'!B83</f>
        <v>45631</v>
      </c>
      <c r="C84" s="2">
        <f>'ULTA Q Rev (Acual)'!C83</f>
        <v>2530100</v>
      </c>
      <c r="D84" s="151">
        <f t="shared" si="1"/>
        <v>2839228.375</v>
      </c>
    </row>
    <row r="85" spans="1:6" x14ac:dyDescent="0.3">
      <c r="B85" s="154">
        <f>'ULTA Q Rev (Acual)'!B84</f>
        <v>45743</v>
      </c>
      <c r="C85" s="2">
        <f>'ULTA Q Rev (Acual)'!C84</f>
        <v>3487619</v>
      </c>
      <c r="D85" s="151">
        <f>AVERAGE(AVERAGE(C83:C86),AVERAGE(C84:C88))</f>
        <v>2884479.2250000001</v>
      </c>
    </row>
    <row r="86" spans="1:6" x14ac:dyDescent="0.3">
      <c r="A86" s="131"/>
      <c r="B86" s="154">
        <f>'ULTA Q Rev (Acual)'!B85</f>
        <v>45806</v>
      </c>
      <c r="C86" s="2">
        <f>'ULTA Q Rev (Acual)'!C85</f>
        <v>2848367</v>
      </c>
      <c r="D86" s="151">
        <f>AVERAGE(AVERAGE(C84:C88),AVERAGE(C85:C89))</f>
        <v>2941056.3557672831</v>
      </c>
    </row>
    <row r="87" spans="1:6" x14ac:dyDescent="0.3">
      <c r="A87" s="131"/>
      <c r="B87" s="154">
        <f>'ULTA Q Rev (Acual)'!B86</f>
        <v>45897</v>
      </c>
      <c r="C87" s="104">
        <f>'ULTA Q Rev (Acual)'!C85</f>
        <v>2848367</v>
      </c>
      <c r="D87" s="151">
        <f>AVERAGE(AVERAGE(C84:C88),AVERAGE(C85:C89))</f>
        <v>2941056.3557672831</v>
      </c>
    </row>
    <row r="88" spans="1:6" x14ac:dyDescent="0.3">
      <c r="B88" s="155">
        <f>'ULTA Q Rev (Acual)'!B87</f>
        <v>45995</v>
      </c>
      <c r="C88" s="14">
        <v>2857623</v>
      </c>
      <c r="D88" s="151">
        <f>AVERAGE(AVERAGE(C85:C89),AVERAGE(C86:C90))</f>
        <v>2903741.5490187206</v>
      </c>
    </row>
    <row r="89" spans="1:6" x14ac:dyDescent="0.3">
      <c r="A89" s="11" t="s">
        <v>8</v>
      </c>
      <c r="B89" s="220">
        <v>46108</v>
      </c>
      <c r="C89" s="173" cm="1">
        <f t="array" ref="C89:C94">TREND(C6:C88,B6:B88,B89:B94,TRUE)</f>
        <v>2796511.5576728303</v>
      </c>
      <c r="D89" s="152">
        <f>AVERAGE(AVERAGE(C86:C90),AVERAGE(C88:C91))</f>
        <v>2840106.3404811695</v>
      </c>
      <c r="F89" s="145"/>
    </row>
    <row r="90" spans="1:6" x14ac:dyDescent="0.3">
      <c r="B90" s="220">
        <v>46234</v>
      </c>
      <c r="C90" s="173">
        <v>2848059.3748415466</v>
      </c>
      <c r="D90" s="152">
        <f t="shared" si="1"/>
        <v>2845675.1184607465</v>
      </c>
      <c r="F90" s="145"/>
    </row>
    <row r="91" spans="1:6" x14ac:dyDescent="0.3">
      <c r="B91" s="220">
        <v>46262</v>
      </c>
      <c r="C91" s="173">
        <v>2859514.4453234803</v>
      </c>
      <c r="D91" s="152">
        <f t="shared" si="1"/>
        <v>2869588.7707026843</v>
      </c>
    </row>
    <row r="92" spans="1:6" x14ac:dyDescent="0.3">
      <c r="B92" s="220">
        <v>46360</v>
      </c>
      <c r="C92" s="173">
        <v>2899607.1920102593</v>
      </c>
      <c r="D92" s="152">
        <f t="shared" si="1"/>
        <v>2906920.0271839942</v>
      </c>
    </row>
    <row r="93" spans="1:6" x14ac:dyDescent="0.3">
      <c r="B93" s="220">
        <v>46473</v>
      </c>
      <c r="C93" s="173">
        <v>2945836.5835980717</v>
      </c>
    </row>
    <row r="94" spans="1:6" x14ac:dyDescent="0.3">
      <c r="B94" s="218">
        <v>46599</v>
      </c>
      <c r="C94" s="177">
        <v>2997384.4007667843</v>
      </c>
      <c r="D94" s="16"/>
    </row>
    <row r="95" spans="1:6" x14ac:dyDescent="0.3">
      <c r="B95" t="s">
        <v>208</v>
      </c>
    </row>
    <row r="98" spans="2:2" x14ac:dyDescent="0.3">
      <c r="B98" s="145"/>
    </row>
    <row r="99" spans="2:2" x14ac:dyDescent="0.3">
      <c r="B99" s="14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80BF-0C68-414A-844B-2508F521A88B}">
  <dimension ref="A1:O88"/>
  <sheetViews>
    <sheetView topLeftCell="A11" zoomScale="45" workbookViewId="0">
      <selection activeCell="I15" sqref="I15"/>
    </sheetView>
  </sheetViews>
  <sheetFormatPr defaultRowHeight="14" x14ac:dyDescent="0.3"/>
  <cols>
    <col min="2" max="2" width="16.453125" customWidth="1"/>
    <col min="3" max="3" width="10.26953125" customWidth="1"/>
    <col min="4" max="4" width="13.08984375" customWidth="1"/>
    <col min="5" max="5" width="12.90625" customWidth="1"/>
    <col min="6" max="6" width="13.81640625" customWidth="1"/>
    <col min="7" max="7" width="17.6328125" customWidth="1"/>
    <col min="8" max="8" width="15.54296875" customWidth="1"/>
    <col min="9" max="9" width="22.6328125" customWidth="1"/>
    <col min="12" max="12" width="26.26953125" customWidth="1"/>
    <col min="13" max="13" width="28.6328125" customWidth="1"/>
  </cols>
  <sheetData>
    <row r="1" spans="1:15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5" x14ac:dyDescent="0.3">
      <c r="A2" s="3"/>
      <c r="B2" s="111" t="s">
        <v>212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7.5" x14ac:dyDescent="0.35">
      <c r="A3" s="3"/>
      <c r="B3" s="45" t="s">
        <v>117</v>
      </c>
      <c r="C3" s="16"/>
      <c r="D3" s="16"/>
      <c r="E3" s="16"/>
      <c r="F3" s="16"/>
      <c r="G3" s="16"/>
      <c r="H3" s="116"/>
      <c r="I3" s="117"/>
      <c r="K3" s="45" t="s">
        <v>118</v>
      </c>
      <c r="L3" s="16"/>
      <c r="M3" s="27"/>
      <c r="N3" s="3"/>
      <c r="O3" s="3"/>
    </row>
    <row r="4" spans="1:15" ht="28" x14ac:dyDescent="0.3">
      <c r="A4" s="18"/>
      <c r="B4" s="19" t="s">
        <v>0</v>
      </c>
      <c r="C4" s="19" t="s">
        <v>99</v>
      </c>
      <c r="D4" s="20" t="s">
        <v>1</v>
      </c>
      <c r="E4" s="20" t="s">
        <v>120</v>
      </c>
      <c r="F4" s="20" t="s">
        <v>3</v>
      </c>
      <c r="G4" s="20" t="s">
        <v>4</v>
      </c>
      <c r="H4" s="20" t="s">
        <v>119</v>
      </c>
      <c r="I4" s="20" t="s">
        <v>100</v>
      </c>
      <c r="J4" s="18"/>
      <c r="K4" s="21" t="s">
        <v>40</v>
      </c>
      <c r="L4" s="22" t="s">
        <v>39</v>
      </c>
      <c r="M4" s="22" t="s">
        <v>111</v>
      </c>
      <c r="N4" s="18"/>
      <c r="O4" s="18"/>
    </row>
    <row r="5" spans="1:15" x14ac:dyDescent="0.3">
      <c r="A5" s="3"/>
      <c r="B5" s="154">
        <f>'ULTA Q Rev (Acual)'!B5</f>
        <v>38472</v>
      </c>
      <c r="C5" s="9">
        <v>1</v>
      </c>
      <c r="D5" s="4">
        <f>'ULTA Q Rev (Acual)'!C5</f>
        <v>144769</v>
      </c>
      <c r="E5" s="32"/>
      <c r="F5" s="31"/>
      <c r="G5" s="31"/>
      <c r="H5" s="31"/>
      <c r="I5" s="31"/>
      <c r="J5" s="3"/>
      <c r="K5" s="7">
        <v>1</v>
      </c>
      <c r="L5" s="160">
        <f>AVERAGEIF($C$7:$C$87,K5,$F$7:$F$87)</f>
        <v>0.9481494537446048</v>
      </c>
      <c r="M5" s="160">
        <f>L5/AVERAGE($L$5:$L$8)</f>
        <v>0.94732421495752306</v>
      </c>
      <c r="N5" s="3"/>
      <c r="O5" s="8"/>
    </row>
    <row r="6" spans="1:15" x14ac:dyDescent="0.3">
      <c r="A6" s="3"/>
      <c r="B6" s="154">
        <f>'ULTA Q Rev (Acual)'!B6</f>
        <v>38564</v>
      </c>
      <c r="C6" s="9">
        <v>2</v>
      </c>
      <c r="D6" s="4">
        <f>'ULTA Q Rev (Acual)'!C6</f>
        <v>144769</v>
      </c>
      <c r="E6" s="31"/>
      <c r="F6" s="31"/>
      <c r="G6" s="31"/>
      <c r="H6" s="31"/>
      <c r="I6" s="31"/>
      <c r="J6" s="3"/>
      <c r="K6" s="7">
        <v>2</v>
      </c>
      <c r="L6" s="160">
        <f t="shared" ref="L6:L8" si="0">AVERAGEIF($C$7:$C$87,K6,$F$7:$F$87)</f>
        <v>0.91163846881106347</v>
      </c>
      <c r="M6" s="160">
        <f>L6/AVERAGE($L$5:$L$8)</f>
        <v>0.91084500801088319</v>
      </c>
      <c r="N6" s="3"/>
      <c r="O6" s="3"/>
    </row>
    <row r="7" spans="1:15" x14ac:dyDescent="0.3">
      <c r="A7" s="3"/>
      <c r="B7" s="154">
        <f>'ULTA Q Rev (Acual)'!B7</f>
        <v>38656</v>
      </c>
      <c r="C7" s="9">
        <v>3</v>
      </c>
      <c r="D7" s="4">
        <f>'ULTA Q Rev (Acual)'!C7</f>
        <v>144769</v>
      </c>
      <c r="E7" s="157">
        <f>AVERAGE(AVERAGE(D5:D8),AVERAGE(D6:D9))</f>
        <v>146606.125</v>
      </c>
      <c r="F7" s="158">
        <f>D7/E7</f>
        <v>0.98746897511955933</v>
      </c>
      <c r="G7" s="159">
        <f>VLOOKUP(C7,$K$5:$M$8,3)</f>
        <v>0.9327098137094193</v>
      </c>
      <c r="H7" s="159">
        <f>D7/(E7*G7)</f>
        <v>1.058709751527499</v>
      </c>
      <c r="I7" s="157">
        <f>E7*G7*H7</f>
        <v>144769</v>
      </c>
      <c r="J7" s="3"/>
      <c r="K7" s="7">
        <v>3</v>
      </c>
      <c r="L7" s="160">
        <f t="shared" si="0"/>
        <v>0.93352232151109027</v>
      </c>
      <c r="M7" s="160">
        <f>L7/AVERAGE($L$5:$L$8)</f>
        <v>0.9327098137094193</v>
      </c>
      <c r="N7" s="3"/>
      <c r="O7" s="3"/>
    </row>
    <row r="8" spans="1:15" x14ac:dyDescent="0.3">
      <c r="A8" s="3"/>
      <c r="B8" s="154">
        <f>'ULTA Q Rev (Acual)'!B8</f>
        <v>38748</v>
      </c>
      <c r="C8" s="9">
        <v>4</v>
      </c>
      <c r="D8" s="4">
        <f>'ULTA Q Rev (Acual)'!C8</f>
        <v>144768</v>
      </c>
      <c r="E8" s="157">
        <f t="shared" ref="E8:E71" si="1">AVERAGE(AVERAGE(D6:D9),AVERAGE(D7:D10))</f>
        <v>150667.125</v>
      </c>
      <c r="F8" s="158">
        <f t="shared" ref="F8:F71" si="2">D8/E8</f>
        <v>0.96084663459264918</v>
      </c>
      <c r="G8" s="159">
        <f t="shared" ref="G8:G71" si="3">VLOOKUP(C8,$K$5:$M$8,3)</f>
        <v>1.2091209633221747</v>
      </c>
      <c r="H8" s="159">
        <f t="shared" ref="H8:H71" si="4">D8/(E8*G8)</f>
        <v>0.79466543359949016</v>
      </c>
      <c r="I8" s="157">
        <f t="shared" ref="I8:I71" si="5">E8*G8*H8</f>
        <v>144768</v>
      </c>
      <c r="J8" s="3"/>
      <c r="K8" s="7">
        <v>4</v>
      </c>
      <c r="L8" s="160">
        <f t="shared" si="0"/>
        <v>1.2101742600725927</v>
      </c>
      <c r="M8" s="160">
        <f>L8/AVERAGE($L$5:$L$8)</f>
        <v>1.2091209633221747</v>
      </c>
      <c r="N8" s="115"/>
      <c r="O8" s="3"/>
    </row>
    <row r="9" spans="1:15" x14ac:dyDescent="0.3">
      <c r="A9" s="3"/>
      <c r="B9" s="154">
        <f>'ULTA Q Rev (Acual)'!B9</f>
        <v>38837</v>
      </c>
      <c r="C9" s="9">
        <v>1</v>
      </c>
      <c r="D9" s="4">
        <f>'ULTA Q Rev (Acual)'!C9</f>
        <v>159468</v>
      </c>
      <c r="E9" s="157">
        <f t="shared" si="1"/>
        <v>161862.625</v>
      </c>
      <c r="F9" s="158">
        <f t="shared" si="2"/>
        <v>0.98520581882321501</v>
      </c>
      <c r="G9" s="159">
        <f t="shared" si="3"/>
        <v>0.94732421495752306</v>
      </c>
      <c r="H9" s="159">
        <f t="shared" si="4"/>
        <v>1.0399880033335689</v>
      </c>
      <c r="I9" s="157">
        <f t="shared" si="5"/>
        <v>159468</v>
      </c>
      <c r="J9" s="25"/>
      <c r="K9" s="3"/>
      <c r="L9" s="3"/>
      <c r="M9" s="3"/>
      <c r="N9" s="3"/>
      <c r="O9" s="3"/>
    </row>
    <row r="10" spans="1:15" x14ac:dyDescent="0.3">
      <c r="A10" s="3"/>
      <c r="B10" s="154">
        <f>'ULTA Q Rev (Acual)'!B10</f>
        <v>38929</v>
      </c>
      <c r="C10" s="9">
        <v>2</v>
      </c>
      <c r="D10" s="4">
        <f>'ULTA Q Rev (Acual)'!C10</f>
        <v>162558</v>
      </c>
      <c r="E10" s="157">
        <f t="shared" si="1"/>
        <v>179806.375</v>
      </c>
      <c r="F10" s="158">
        <f t="shared" si="2"/>
        <v>0.90407250577183373</v>
      </c>
      <c r="G10" s="159">
        <f t="shared" si="3"/>
        <v>0.91084500801088319</v>
      </c>
      <c r="H10" s="159">
        <f t="shared" si="4"/>
        <v>0.99256459421802246</v>
      </c>
      <c r="I10" s="157">
        <f t="shared" si="5"/>
        <v>162558</v>
      </c>
      <c r="J10" s="25"/>
      <c r="K10" s="31"/>
      <c r="L10" s="33"/>
      <c r="M10" s="33"/>
      <c r="N10" s="3"/>
      <c r="O10" s="3"/>
    </row>
    <row r="11" spans="1:15" x14ac:dyDescent="0.3">
      <c r="A11" s="3"/>
      <c r="B11" s="154">
        <f>'ULTA Q Rev (Acual)'!B11</f>
        <v>39021</v>
      </c>
      <c r="C11" s="9">
        <v>3</v>
      </c>
      <c r="D11" s="4">
        <f>'ULTA Q Rev (Acual)'!C11</f>
        <v>216544</v>
      </c>
      <c r="E11" s="157">
        <f t="shared" si="1"/>
        <v>193108.875</v>
      </c>
      <c r="F11" s="158">
        <f t="shared" si="2"/>
        <v>1.1213570582915984</v>
      </c>
      <c r="G11" s="159">
        <f t="shared" si="3"/>
        <v>0.9327098137094193</v>
      </c>
      <c r="H11" s="159">
        <f t="shared" si="4"/>
        <v>1.2022571670302498</v>
      </c>
      <c r="I11" s="157">
        <f t="shared" si="5"/>
        <v>216544</v>
      </c>
      <c r="J11" s="25"/>
      <c r="K11" s="31"/>
      <c r="L11" s="33"/>
      <c r="M11" s="33"/>
      <c r="N11" s="3"/>
      <c r="O11" s="3"/>
    </row>
    <row r="12" spans="1:15" x14ac:dyDescent="0.3">
      <c r="A12" s="3"/>
      <c r="B12" s="154">
        <f>'ULTA Q Rev (Acual)'!B12</f>
        <v>39113</v>
      </c>
      <c r="C12" s="9">
        <v>4</v>
      </c>
      <c r="D12" s="4">
        <f>'ULTA Q Rev (Acual)'!C12</f>
        <v>216543</v>
      </c>
      <c r="E12" s="157">
        <f t="shared" si="1"/>
        <v>202175.875</v>
      </c>
      <c r="F12" s="158">
        <f t="shared" si="2"/>
        <v>1.0710625093127457</v>
      </c>
      <c r="G12" s="159">
        <f t="shared" si="3"/>
        <v>1.2091209633221747</v>
      </c>
      <c r="H12" s="159">
        <f t="shared" si="4"/>
        <v>0.88581915441272285</v>
      </c>
      <c r="I12" s="157">
        <f t="shared" si="5"/>
        <v>216543</v>
      </c>
      <c r="J12" s="25"/>
      <c r="K12" s="31"/>
      <c r="L12" s="33"/>
      <c r="M12" s="33"/>
      <c r="N12" s="3"/>
      <c r="O12" s="3"/>
    </row>
    <row r="13" spans="1:15" x14ac:dyDescent="0.3">
      <c r="A13" s="3"/>
      <c r="B13" s="154">
        <f>'ULTA Q Rev (Acual)'!B13</f>
        <v>39202</v>
      </c>
      <c r="C13" s="9">
        <v>1</v>
      </c>
      <c r="D13" s="4">
        <f>'ULTA Q Rev (Acual)'!C13</f>
        <v>194113</v>
      </c>
      <c r="E13" s="157">
        <f t="shared" si="1"/>
        <v>205873.625</v>
      </c>
      <c r="F13" s="158">
        <f t="shared" si="2"/>
        <v>0.94287454257435843</v>
      </c>
      <c r="G13" s="159">
        <f t="shared" si="3"/>
        <v>0.94732421495752306</v>
      </c>
      <c r="H13" s="159">
        <f t="shared" si="4"/>
        <v>0.9953029044197248</v>
      </c>
      <c r="I13" s="157">
        <f t="shared" si="5"/>
        <v>194113</v>
      </c>
      <c r="J13" s="3"/>
      <c r="K13" s="3"/>
      <c r="L13" s="3"/>
      <c r="M13" s="3"/>
      <c r="N13" s="3"/>
      <c r="O13" s="3"/>
    </row>
    <row r="14" spans="1:15" x14ac:dyDescent="0.3">
      <c r="A14" s="3"/>
      <c r="B14" s="154">
        <f>'ULTA Q Rev (Acual)'!B14</f>
        <v>39293</v>
      </c>
      <c r="C14" s="9">
        <v>2</v>
      </c>
      <c r="D14" s="4">
        <f>'ULTA Q Rev (Acual)'!C14</f>
        <v>200449</v>
      </c>
      <c r="E14" s="157">
        <f t="shared" si="1"/>
        <v>216435.125</v>
      </c>
      <c r="F14" s="158">
        <f t="shared" si="2"/>
        <v>0.92613895272313129</v>
      </c>
      <c r="G14" s="159">
        <f t="shared" si="3"/>
        <v>0.91084500801088319</v>
      </c>
      <c r="H14" s="159">
        <f t="shared" si="4"/>
        <v>1.016790940915016</v>
      </c>
      <c r="I14" s="157">
        <f t="shared" si="5"/>
        <v>200448.99999999997</v>
      </c>
      <c r="J14" s="3"/>
      <c r="K14" s="3"/>
      <c r="L14" s="3"/>
      <c r="M14" s="3"/>
      <c r="N14" s="3"/>
      <c r="O14" s="3"/>
    </row>
    <row r="15" spans="1:15" x14ac:dyDescent="0.3">
      <c r="A15" s="3"/>
      <c r="B15" s="154">
        <f>'ULTA Q Rev (Acual)'!B15</f>
        <v>39386</v>
      </c>
      <c r="C15" s="9">
        <v>3</v>
      </c>
      <c r="D15" s="4">
        <f>'ULTA Q Rev (Acual)'!C15</f>
        <v>208235</v>
      </c>
      <c r="E15" s="157">
        <f t="shared" si="1"/>
        <v>233683.375</v>
      </c>
      <c r="F15" s="158">
        <f t="shared" si="2"/>
        <v>0.89109890680070847</v>
      </c>
      <c r="G15" s="159">
        <f t="shared" si="3"/>
        <v>0.9327098137094193</v>
      </c>
      <c r="H15" s="159">
        <f t="shared" si="4"/>
        <v>0.95538708149405771</v>
      </c>
      <c r="I15" s="157">
        <f t="shared" si="5"/>
        <v>208235</v>
      </c>
      <c r="J15" s="3"/>
      <c r="K15" s="3"/>
      <c r="L15" s="3"/>
      <c r="M15" s="3"/>
      <c r="N15" s="3"/>
      <c r="O15" s="3"/>
    </row>
    <row r="16" spans="1:15" x14ac:dyDescent="0.3">
      <c r="A16" s="3"/>
      <c r="B16" s="154">
        <f>'ULTA Q Rev (Acual)'!B16</f>
        <v>39478</v>
      </c>
      <c r="C16" s="9">
        <v>4</v>
      </c>
      <c r="D16" s="4">
        <f>'ULTA Q Rev (Acual)'!C16</f>
        <v>309344</v>
      </c>
      <c r="E16" s="157">
        <f t="shared" si="1"/>
        <v>245414.25</v>
      </c>
      <c r="F16" s="158">
        <f t="shared" si="2"/>
        <v>1.2604973020107839</v>
      </c>
      <c r="G16" s="159">
        <f t="shared" si="3"/>
        <v>1.2091209633221747</v>
      </c>
      <c r="H16" s="159">
        <f t="shared" si="4"/>
        <v>1.0424906525046491</v>
      </c>
      <c r="I16" s="157">
        <f t="shared" si="5"/>
        <v>309344</v>
      </c>
      <c r="J16" s="3"/>
      <c r="K16" s="3"/>
      <c r="L16" s="3"/>
      <c r="M16" s="3"/>
      <c r="N16" s="3"/>
      <c r="O16" s="3"/>
    </row>
    <row r="17" spans="1:15" x14ac:dyDescent="0.3">
      <c r="A17" s="3"/>
      <c r="B17" s="154">
        <f>'ULTA Q Rev (Acual)'!B17</f>
        <v>39568</v>
      </c>
      <c r="C17" s="9">
        <v>1</v>
      </c>
      <c r="D17" s="4">
        <f>'ULTA Q Rev (Acual)'!C17</f>
        <v>239298</v>
      </c>
      <c r="E17" s="157">
        <f t="shared" si="1"/>
        <v>257323</v>
      </c>
      <c r="F17" s="158">
        <f t="shared" si="2"/>
        <v>0.92995185039813777</v>
      </c>
      <c r="G17" s="159">
        <f t="shared" si="3"/>
        <v>0.94732421495752306</v>
      </c>
      <c r="H17" s="159">
        <f t="shared" si="4"/>
        <v>0.98166164837223735</v>
      </c>
      <c r="I17" s="157">
        <f t="shared" si="5"/>
        <v>239298</v>
      </c>
      <c r="J17" s="3"/>
      <c r="K17" s="3"/>
      <c r="L17" s="3"/>
      <c r="M17" s="3"/>
      <c r="N17" s="3"/>
      <c r="O17" s="3"/>
    </row>
    <row r="18" spans="1:15" x14ac:dyDescent="0.3">
      <c r="A18" s="3"/>
      <c r="B18" s="154">
        <f>'ULTA Q Rev (Acual)'!B18</f>
        <v>39660</v>
      </c>
      <c r="C18" s="9">
        <v>2</v>
      </c>
      <c r="D18" s="4">
        <f>'ULTA Q Rev (Acual)'!C18</f>
        <v>249111</v>
      </c>
      <c r="E18" s="157">
        <f t="shared" si="1"/>
        <v>267155.25</v>
      </c>
      <c r="F18" s="158">
        <f t="shared" si="2"/>
        <v>0.93245781245174852</v>
      </c>
      <c r="G18" s="159">
        <f t="shared" si="3"/>
        <v>0.91084500801088319</v>
      </c>
      <c r="H18" s="159">
        <f t="shared" si="4"/>
        <v>1.0237283009192351</v>
      </c>
      <c r="I18" s="157">
        <f t="shared" si="5"/>
        <v>249111</v>
      </c>
      <c r="J18" s="3"/>
      <c r="K18" s="3"/>
      <c r="L18" s="3"/>
      <c r="M18" s="3"/>
      <c r="N18" s="3"/>
      <c r="O18" s="3"/>
    </row>
    <row r="19" spans="1:15" x14ac:dyDescent="0.3">
      <c r="A19" s="3"/>
      <c r="B19" s="154">
        <f>'ULTA Q Rev (Acual)'!B19</f>
        <v>39752</v>
      </c>
      <c r="C19" s="9">
        <v>3</v>
      </c>
      <c r="D19" s="4">
        <f>'ULTA Q Rev (Acual)'!C19</f>
        <v>254843</v>
      </c>
      <c r="E19" s="157">
        <f t="shared" si="1"/>
        <v>274852.375</v>
      </c>
      <c r="F19" s="158">
        <f t="shared" si="2"/>
        <v>0.92719955576152469</v>
      </c>
      <c r="G19" s="159">
        <f t="shared" si="3"/>
        <v>0.9327098137094193</v>
      </c>
      <c r="H19" s="159">
        <f t="shared" si="4"/>
        <v>0.99409220545672183</v>
      </c>
      <c r="I19" s="157">
        <f t="shared" si="5"/>
        <v>254843</v>
      </c>
      <c r="J19" s="3"/>
      <c r="K19" s="3"/>
      <c r="L19" s="3"/>
      <c r="M19" s="3"/>
      <c r="N19" s="3"/>
      <c r="O19" s="3"/>
    </row>
    <row r="20" spans="1:15" x14ac:dyDescent="0.3">
      <c r="A20" s="3"/>
      <c r="B20" s="154">
        <f>'ULTA Q Rev (Acual)'!B20</f>
        <v>39844</v>
      </c>
      <c r="C20" s="9">
        <v>4</v>
      </c>
      <c r="D20" s="4">
        <f>'ULTA Q Rev (Acual)'!C20</f>
        <v>341394</v>
      </c>
      <c r="E20" s="157">
        <f t="shared" si="1"/>
        <v>281596.75</v>
      </c>
      <c r="F20" s="158">
        <f t="shared" si="2"/>
        <v>1.2123506397002095</v>
      </c>
      <c r="G20" s="159">
        <f t="shared" si="3"/>
        <v>1.2091209633221747</v>
      </c>
      <c r="H20" s="159">
        <f t="shared" si="4"/>
        <v>1.0026710945190802</v>
      </c>
      <c r="I20" s="157">
        <f t="shared" si="5"/>
        <v>341394</v>
      </c>
      <c r="J20" s="3"/>
      <c r="K20" s="3"/>
      <c r="L20" s="3"/>
      <c r="M20" s="3"/>
      <c r="N20" s="3"/>
      <c r="O20" s="3"/>
    </row>
    <row r="21" spans="1:15" x14ac:dyDescent="0.3">
      <c r="A21" s="3"/>
      <c r="B21" s="154">
        <f>'ULTA Q Rev (Acual)'!B21</f>
        <v>39933</v>
      </c>
      <c r="C21" s="9">
        <v>1</v>
      </c>
      <c r="D21" s="4">
        <f>'ULTA Q Rev (Acual)'!C21</f>
        <v>268825</v>
      </c>
      <c r="E21" s="157">
        <f t="shared" si="1"/>
        <v>288300.25</v>
      </c>
      <c r="F21" s="158">
        <f t="shared" si="2"/>
        <v>0.93244802944152838</v>
      </c>
      <c r="G21" s="159">
        <f t="shared" si="3"/>
        <v>0.94732421495752306</v>
      </c>
      <c r="H21" s="159">
        <f t="shared" si="4"/>
        <v>0.98429662698249343</v>
      </c>
      <c r="I21" s="157">
        <f t="shared" si="5"/>
        <v>268825</v>
      </c>
      <c r="J21" s="3"/>
      <c r="K21" s="3"/>
      <c r="L21" s="3"/>
      <c r="M21" s="3"/>
      <c r="N21" s="3"/>
      <c r="O21" s="3"/>
    </row>
    <row r="22" spans="1:15" x14ac:dyDescent="0.3">
      <c r="A22" s="3"/>
      <c r="B22" s="154">
        <f>'ULTA Q Rev (Acual)'!B22</f>
        <v>40025</v>
      </c>
      <c r="C22" s="9">
        <v>2</v>
      </c>
      <c r="D22" s="4">
        <f>'ULTA Q Rev (Acual)'!C22</f>
        <v>273539</v>
      </c>
      <c r="E22" s="157">
        <f t="shared" si="1"/>
        <v>298821.5</v>
      </c>
      <c r="F22" s="158">
        <f t="shared" si="2"/>
        <v>0.91539263406414861</v>
      </c>
      <c r="G22" s="159">
        <f t="shared" si="3"/>
        <v>0.91084500801088319</v>
      </c>
      <c r="H22" s="159">
        <f t="shared" si="4"/>
        <v>1.0049927550936428</v>
      </c>
      <c r="I22" s="157">
        <f t="shared" si="5"/>
        <v>273539</v>
      </c>
      <c r="J22" s="3"/>
      <c r="K22" s="3"/>
      <c r="L22" s="3"/>
      <c r="M22" s="3"/>
      <c r="N22" s="3"/>
      <c r="O22" s="3"/>
    </row>
    <row r="23" spans="1:15" x14ac:dyDescent="0.3">
      <c r="A23" s="3"/>
      <c r="B23" s="154">
        <f>'ULTA Q Rev (Acual)'!B23</f>
        <v>40117</v>
      </c>
      <c r="C23" s="9">
        <v>3</v>
      </c>
      <c r="D23" s="4">
        <f>'ULTA Q Rev (Acual)'!C23</f>
        <v>284043</v>
      </c>
      <c r="E23" s="157">
        <f t="shared" si="1"/>
        <v>312114.125</v>
      </c>
      <c r="F23" s="158">
        <f t="shared" si="2"/>
        <v>0.91006134374725911</v>
      </c>
      <c r="G23" s="159">
        <f t="shared" si="3"/>
        <v>0.9327098137094193</v>
      </c>
      <c r="H23" s="159">
        <f t="shared" si="4"/>
        <v>0.97571756013578703</v>
      </c>
      <c r="I23" s="157">
        <f t="shared" si="5"/>
        <v>284043</v>
      </c>
      <c r="J23" s="3"/>
      <c r="K23" s="3"/>
      <c r="L23" s="3"/>
      <c r="M23" s="3"/>
      <c r="N23" s="3"/>
      <c r="O23" s="3"/>
    </row>
    <row r="24" spans="1:15" x14ac:dyDescent="0.3">
      <c r="A24" s="3"/>
      <c r="B24" s="154">
        <f>'ULTA Q Rev (Acual)'!B24</f>
        <v>40209</v>
      </c>
      <c r="C24" s="9">
        <v>4</v>
      </c>
      <c r="D24" s="4">
        <f>'ULTA Q Rev (Acual)'!C24</f>
        <v>396364</v>
      </c>
      <c r="E24" s="157">
        <f t="shared" si="1"/>
        <v>324568.625</v>
      </c>
      <c r="F24" s="158">
        <f t="shared" si="2"/>
        <v>1.2212024498671121</v>
      </c>
      <c r="G24" s="159">
        <f t="shared" si="3"/>
        <v>1.2091209633221747</v>
      </c>
      <c r="H24" s="159">
        <f t="shared" si="4"/>
        <v>1.0099919585479209</v>
      </c>
      <c r="I24" s="157">
        <f t="shared" si="5"/>
        <v>396363.99999999994</v>
      </c>
      <c r="J24" s="3"/>
      <c r="K24" s="3"/>
      <c r="L24" s="3"/>
      <c r="M24" s="3"/>
      <c r="N24" s="3"/>
      <c r="O24" s="3"/>
    </row>
    <row r="25" spans="1:15" x14ac:dyDescent="0.3">
      <c r="A25" s="3"/>
      <c r="B25" s="154">
        <f>'ULTA Q Rev (Acual)'!B25</f>
        <v>40298</v>
      </c>
      <c r="C25" s="9">
        <v>1</v>
      </c>
      <c r="D25" s="4">
        <f>'ULTA Q Rev (Acual)'!C25</f>
        <v>320196</v>
      </c>
      <c r="E25" s="157">
        <f t="shared" si="1"/>
        <v>337493.75</v>
      </c>
      <c r="F25" s="158">
        <f t="shared" si="2"/>
        <v>0.94874645826774573</v>
      </c>
      <c r="G25" s="159">
        <f t="shared" si="3"/>
        <v>0.94732421495752306</v>
      </c>
      <c r="H25" s="159">
        <f t="shared" si="4"/>
        <v>1.0015013268823563</v>
      </c>
      <c r="I25" s="157">
        <f t="shared" si="5"/>
        <v>320196.00000000006</v>
      </c>
      <c r="J25" s="3"/>
      <c r="K25" s="3"/>
      <c r="L25" s="3"/>
      <c r="M25" s="3"/>
      <c r="N25" s="3"/>
      <c r="O25" s="3"/>
    </row>
    <row r="26" spans="1:15" x14ac:dyDescent="0.3">
      <c r="A26" s="3"/>
      <c r="B26" s="154">
        <f>'ULTA Q Rev (Acual)'!B26</f>
        <v>40390</v>
      </c>
      <c r="C26" s="9">
        <v>2</v>
      </c>
      <c r="D26" s="4">
        <f>'ULTA Q Rev (Acual)'!C26</f>
        <v>321804</v>
      </c>
      <c r="E26" s="157">
        <f t="shared" si="1"/>
        <v>354047.625</v>
      </c>
      <c r="F26" s="158">
        <f t="shared" si="2"/>
        <v>0.90892856575439529</v>
      </c>
      <c r="G26" s="159">
        <f t="shared" si="3"/>
        <v>0.91084500801088319</v>
      </c>
      <c r="H26" s="159">
        <f t="shared" si="4"/>
        <v>0.99789597325600654</v>
      </c>
      <c r="I26" s="157">
        <f t="shared" si="5"/>
        <v>321804</v>
      </c>
      <c r="J26" s="3"/>
      <c r="K26" s="3"/>
      <c r="L26" s="3"/>
      <c r="M26" s="3"/>
      <c r="N26" s="3"/>
      <c r="O26" s="3"/>
    </row>
    <row r="27" spans="1:15" x14ac:dyDescent="0.3">
      <c r="A27" s="3"/>
      <c r="B27" s="154">
        <f>'ULTA Q Rev (Acual)'!B27</f>
        <v>40482</v>
      </c>
      <c r="C27" s="9">
        <v>3</v>
      </c>
      <c r="D27" s="4">
        <f>'ULTA Q Rev (Acual)'!C27</f>
        <v>339179</v>
      </c>
      <c r="E27" s="157">
        <f t="shared" si="1"/>
        <v>371935.75</v>
      </c>
      <c r="F27" s="158">
        <f t="shared" si="2"/>
        <v>0.91192900924420417</v>
      </c>
      <c r="G27" s="159">
        <f t="shared" si="3"/>
        <v>0.9327098137094193</v>
      </c>
      <c r="H27" s="159">
        <f t="shared" si="4"/>
        <v>0.97771996803317729</v>
      </c>
      <c r="I27" s="157">
        <f t="shared" si="5"/>
        <v>339179</v>
      </c>
      <c r="J27" s="3"/>
      <c r="K27" s="3"/>
      <c r="L27" s="3"/>
      <c r="M27" s="3"/>
      <c r="N27" s="3"/>
      <c r="O27" s="3"/>
    </row>
    <row r="28" spans="1:15" x14ac:dyDescent="0.3">
      <c r="A28" s="3"/>
      <c r="B28" s="154">
        <f>'ULTA Q Rev (Acual)'!B28</f>
        <v>40574</v>
      </c>
      <c r="C28" s="9">
        <v>4</v>
      </c>
      <c r="D28" s="4">
        <f>'ULTA Q Rev (Acual)'!C28</f>
        <v>473659</v>
      </c>
      <c r="E28" s="157">
        <f t="shared" si="1"/>
        <v>389257.375</v>
      </c>
      <c r="F28" s="158">
        <f t="shared" si="2"/>
        <v>1.2168272983909425</v>
      </c>
      <c r="G28" s="159">
        <f t="shared" si="3"/>
        <v>1.2091209633221747</v>
      </c>
      <c r="H28" s="159">
        <f t="shared" si="4"/>
        <v>1.006373502157794</v>
      </c>
      <c r="I28" s="157">
        <f t="shared" si="5"/>
        <v>473659</v>
      </c>
      <c r="J28" s="3"/>
      <c r="K28" s="3"/>
      <c r="L28" s="3"/>
      <c r="M28" s="3"/>
      <c r="N28" s="3"/>
      <c r="O28" s="3"/>
    </row>
    <row r="29" spans="1:15" x14ac:dyDescent="0.3">
      <c r="A29" s="3"/>
      <c r="B29" s="154">
        <f>'ULTA Q Rev (Acual)'!B29</f>
        <v>40663</v>
      </c>
      <c r="C29" s="9">
        <v>1</v>
      </c>
      <c r="D29" s="4">
        <f>'ULTA Q Rev (Acual)'!C29</f>
        <v>386006</v>
      </c>
      <c r="E29" s="157">
        <f t="shared" si="1"/>
        <v>407588.75</v>
      </c>
      <c r="F29" s="158">
        <f t="shared" si="2"/>
        <v>0.94704772886886601</v>
      </c>
      <c r="G29" s="159">
        <f t="shared" si="3"/>
        <v>0.94732421495752306</v>
      </c>
      <c r="H29" s="159">
        <f t="shared" si="4"/>
        <v>0.99970813995431385</v>
      </c>
      <c r="I29" s="157">
        <f t="shared" si="5"/>
        <v>386006</v>
      </c>
      <c r="J29" s="3"/>
      <c r="K29" s="3"/>
      <c r="L29" s="3"/>
      <c r="M29" s="3"/>
      <c r="N29" s="3"/>
      <c r="O29" s="3"/>
    </row>
    <row r="30" spans="1:15" x14ac:dyDescent="0.3">
      <c r="A30" s="3"/>
      <c r="B30" s="154">
        <f>'ULTA Q Rev (Acual)'!B30</f>
        <v>40755</v>
      </c>
      <c r="C30" s="9">
        <v>2</v>
      </c>
      <c r="D30" s="4">
        <f>'ULTA Q Rev (Acual)'!C30</f>
        <v>394567</v>
      </c>
      <c r="E30" s="157">
        <f t="shared" si="1"/>
        <v>430431.25</v>
      </c>
      <c r="F30" s="158">
        <f t="shared" si="2"/>
        <v>0.9166783313246889</v>
      </c>
      <c r="G30" s="159">
        <f t="shared" si="3"/>
        <v>0.91084500801088319</v>
      </c>
      <c r="H30" s="159">
        <f t="shared" si="4"/>
        <v>1.0064042984948061</v>
      </c>
      <c r="I30" s="157">
        <f t="shared" si="5"/>
        <v>394567</v>
      </c>
      <c r="J30" s="3"/>
      <c r="K30" s="3"/>
      <c r="L30" s="3"/>
      <c r="M30" s="3"/>
      <c r="N30" s="3"/>
      <c r="O30" s="3"/>
    </row>
    <row r="31" spans="1:15" x14ac:dyDescent="0.3">
      <c r="A31" s="3"/>
      <c r="B31" s="154">
        <f>'ULTA Q Rev (Acual)'!B31</f>
        <v>40847</v>
      </c>
      <c r="C31" s="9">
        <v>3</v>
      </c>
      <c r="D31" s="4">
        <f>'ULTA Q Rev (Acual)'!C31</f>
        <v>413067</v>
      </c>
      <c r="E31" s="157">
        <f t="shared" si="1"/>
        <v>455049.25</v>
      </c>
      <c r="F31" s="158">
        <f t="shared" si="2"/>
        <v>0.90774130492468674</v>
      </c>
      <c r="G31" s="159">
        <f t="shared" si="3"/>
        <v>0.9327098137094193</v>
      </c>
      <c r="H31" s="159">
        <f t="shared" si="4"/>
        <v>0.97323014251835516</v>
      </c>
      <c r="I31" s="157">
        <f t="shared" si="5"/>
        <v>413067</v>
      </c>
      <c r="J31" s="3"/>
      <c r="K31" s="3"/>
      <c r="L31" s="3"/>
      <c r="M31" s="3"/>
      <c r="N31" s="3"/>
      <c r="O31" s="3"/>
    </row>
    <row r="32" spans="1:15" x14ac:dyDescent="0.3">
      <c r="A32" s="3"/>
      <c r="B32" s="154">
        <f>'ULTA Q Rev (Acual)'!B32</f>
        <v>40939</v>
      </c>
      <c r="C32" s="9">
        <v>4</v>
      </c>
      <c r="D32" s="4">
        <f>'ULTA Q Rev (Acual)'!C32</f>
        <v>582511</v>
      </c>
      <c r="E32" s="157">
        <f t="shared" si="1"/>
        <v>476950.25</v>
      </c>
      <c r="F32" s="158">
        <f t="shared" si="2"/>
        <v>1.2213244463127968</v>
      </c>
      <c r="G32" s="159">
        <f t="shared" si="3"/>
        <v>1.2091209633221747</v>
      </c>
      <c r="H32" s="159">
        <f t="shared" si="4"/>
        <v>1.0100928553559207</v>
      </c>
      <c r="I32" s="157">
        <f t="shared" si="5"/>
        <v>582511</v>
      </c>
      <c r="J32" s="3"/>
      <c r="K32" s="3"/>
      <c r="L32" s="3"/>
      <c r="M32" s="3"/>
      <c r="N32" s="3"/>
      <c r="O32" s="3"/>
    </row>
    <row r="33" spans="1:15" x14ac:dyDescent="0.3">
      <c r="A33" s="3"/>
      <c r="B33" s="154">
        <f>'ULTA Q Rev (Acual)'!B33</f>
        <v>41029</v>
      </c>
      <c r="C33" s="9">
        <v>1</v>
      </c>
      <c r="D33" s="4">
        <f>'ULTA Q Rev (Acual)'!C33</f>
        <v>474098</v>
      </c>
      <c r="E33" s="157">
        <f t="shared" si="1"/>
        <v>499411.375</v>
      </c>
      <c r="F33" s="158">
        <f t="shared" si="2"/>
        <v>0.94931357941136207</v>
      </c>
      <c r="G33" s="159">
        <f t="shared" si="3"/>
        <v>0.94732421495752306</v>
      </c>
      <c r="H33" s="159">
        <f t="shared" si="4"/>
        <v>1.0020999826906443</v>
      </c>
      <c r="I33" s="157">
        <f t="shared" si="5"/>
        <v>474097.99999999994</v>
      </c>
      <c r="J33" s="3"/>
      <c r="K33" s="3"/>
      <c r="L33" s="3"/>
      <c r="M33" s="3"/>
      <c r="N33" s="3"/>
      <c r="O33" s="3"/>
    </row>
    <row r="34" spans="1:15" x14ac:dyDescent="0.3">
      <c r="A34" s="3"/>
      <c r="B34" s="154">
        <f>'ULTA Q Rev (Acual)'!B34</f>
        <v>41121</v>
      </c>
      <c r="C34" s="34">
        <v>2</v>
      </c>
      <c r="D34" s="4">
        <f>'ULTA Q Rev (Acual)'!C34</f>
        <v>481683</v>
      </c>
      <c r="E34" s="157">
        <f t="shared" si="1"/>
        <v>533023.5</v>
      </c>
      <c r="F34" s="158">
        <f t="shared" si="2"/>
        <v>0.90368060695260155</v>
      </c>
      <c r="G34" s="159">
        <f t="shared" si="3"/>
        <v>0.91084500801088319</v>
      </c>
      <c r="H34" s="159">
        <f t="shared" si="4"/>
        <v>0.99213433570446041</v>
      </c>
      <c r="I34" s="157">
        <f t="shared" si="5"/>
        <v>481683</v>
      </c>
      <c r="J34" s="3"/>
      <c r="K34" s="3"/>
      <c r="L34" s="3"/>
      <c r="M34" s="3"/>
      <c r="N34" s="3"/>
      <c r="O34" s="3"/>
    </row>
    <row r="35" spans="1:15" x14ac:dyDescent="0.3">
      <c r="A35" s="3"/>
      <c r="B35" s="154">
        <f>'ULTA Q Rev (Acual)'!B35</f>
        <v>41213</v>
      </c>
      <c r="C35" s="34">
        <v>3</v>
      </c>
      <c r="D35" s="4">
        <f>'ULTA Q Rev (Acual)'!C35</f>
        <v>505640</v>
      </c>
      <c r="E35" s="157">
        <f t="shared" si="1"/>
        <v>568640.75</v>
      </c>
      <c r="F35" s="158">
        <f t="shared" si="2"/>
        <v>0.88920816877791475</v>
      </c>
      <c r="G35" s="159">
        <f t="shared" si="3"/>
        <v>0.9327098137094193</v>
      </c>
      <c r="H35" s="159">
        <f t="shared" si="4"/>
        <v>0.95335993650747919</v>
      </c>
      <c r="I35" s="157">
        <f t="shared" si="5"/>
        <v>505640</v>
      </c>
      <c r="J35" s="3"/>
      <c r="K35" s="3"/>
      <c r="L35" s="3"/>
      <c r="M35" s="3"/>
      <c r="N35" s="3"/>
      <c r="O35" s="3"/>
    </row>
    <row r="36" spans="1:15" x14ac:dyDescent="0.3">
      <c r="A36" s="3"/>
      <c r="B36" s="154">
        <f>'ULTA Q Rev (Acual)'!B36</f>
        <v>41365</v>
      </c>
      <c r="C36" s="9">
        <v>4</v>
      </c>
      <c r="D36" s="4">
        <f>'ULTA Q Rev (Acual)'!C36</f>
        <v>758835</v>
      </c>
      <c r="E36" s="157">
        <f t="shared" si="1"/>
        <v>597131.875</v>
      </c>
      <c r="F36" s="158">
        <f t="shared" si="2"/>
        <v>1.2707996872550138</v>
      </c>
      <c r="G36" s="159">
        <f t="shared" si="3"/>
        <v>1.2091209633221747</v>
      </c>
      <c r="H36" s="159">
        <f t="shared" si="4"/>
        <v>1.0510112104610039</v>
      </c>
      <c r="I36" s="157">
        <f t="shared" si="5"/>
        <v>758835</v>
      </c>
      <c r="J36" s="3"/>
      <c r="K36" s="3"/>
      <c r="L36" s="3"/>
      <c r="M36" s="3"/>
      <c r="N36" s="3"/>
      <c r="O36" s="3"/>
    </row>
    <row r="37" spans="1:15" x14ac:dyDescent="0.3">
      <c r="A37" s="3"/>
      <c r="B37" s="154">
        <f>'ULTA Q Rev (Acual)'!B37</f>
        <v>41435</v>
      </c>
      <c r="C37" s="9">
        <v>1</v>
      </c>
      <c r="D37" s="4">
        <f>'ULTA Q Rev (Acual)'!C37</f>
        <v>582712</v>
      </c>
      <c r="E37" s="157">
        <f t="shared" si="1"/>
        <v>626188.875</v>
      </c>
      <c r="F37" s="158">
        <f t="shared" si="2"/>
        <v>0.9305690715121695</v>
      </c>
      <c r="G37" s="159">
        <f t="shared" si="3"/>
        <v>0.94732421495752306</v>
      </c>
      <c r="H37" s="159">
        <f t="shared" si="4"/>
        <v>0.98231318995038597</v>
      </c>
      <c r="I37" s="157">
        <f t="shared" si="5"/>
        <v>582712</v>
      </c>
      <c r="J37" s="3"/>
      <c r="K37" s="3"/>
      <c r="L37" s="3"/>
      <c r="M37" s="3"/>
      <c r="N37" s="3"/>
      <c r="O37" s="3"/>
    </row>
    <row r="38" spans="1:15" x14ac:dyDescent="0.3">
      <c r="A38" s="3"/>
      <c r="B38" s="154">
        <f>'ULTA Q Rev (Acual)'!B38</f>
        <v>41528</v>
      </c>
      <c r="C38" s="34">
        <v>2</v>
      </c>
      <c r="D38" s="4">
        <f>'ULTA Q Rev (Acual)'!C38</f>
        <v>600998</v>
      </c>
      <c r="E38" s="157">
        <f t="shared" si="1"/>
        <v>653987.375</v>
      </c>
      <c r="F38" s="158">
        <f t="shared" si="2"/>
        <v>0.9189749266948769</v>
      </c>
      <c r="G38" s="159">
        <f t="shared" si="3"/>
        <v>0.91084500801088319</v>
      </c>
      <c r="H38" s="159">
        <f t="shared" si="4"/>
        <v>1.0089256883580533</v>
      </c>
      <c r="I38" s="157">
        <f t="shared" si="5"/>
        <v>600998</v>
      </c>
      <c r="J38" s="3"/>
      <c r="K38" s="3"/>
      <c r="L38" s="3"/>
      <c r="M38" s="3"/>
      <c r="N38" s="3"/>
      <c r="O38" s="3"/>
    </row>
    <row r="39" spans="1:15" x14ac:dyDescent="0.3">
      <c r="A39" s="3"/>
      <c r="B39" s="154">
        <f>'ULTA Q Rev (Acual)'!B39</f>
        <v>41612</v>
      </c>
      <c r="C39" s="34">
        <v>3</v>
      </c>
      <c r="D39" s="4">
        <f>'ULTA Q Rev (Acual)'!C39</f>
        <v>618781</v>
      </c>
      <c r="E39" s="157">
        <f t="shared" si="1"/>
        <v>684025.5</v>
      </c>
      <c r="F39" s="158">
        <f t="shared" si="2"/>
        <v>0.90461686004396036</v>
      </c>
      <c r="G39" s="159">
        <f t="shared" si="3"/>
        <v>0.9327098137094193</v>
      </c>
      <c r="H39" s="159">
        <f t="shared" si="4"/>
        <v>0.9698802851084708</v>
      </c>
      <c r="I39" s="157">
        <f t="shared" si="5"/>
        <v>618781</v>
      </c>
      <c r="J39" s="3"/>
      <c r="K39" s="3"/>
      <c r="L39" s="3"/>
      <c r="M39" s="3"/>
      <c r="N39" s="3"/>
      <c r="O39" s="3"/>
    </row>
    <row r="40" spans="1:15" x14ac:dyDescent="0.3">
      <c r="A40" s="3"/>
      <c r="B40" s="154">
        <f>'ULTA Q Rev (Acual)'!B40</f>
        <v>41728</v>
      </c>
      <c r="C40" s="3">
        <v>4</v>
      </c>
      <c r="D40" s="4">
        <f>'ULTA Q Rev (Acual)'!C40</f>
        <v>868082</v>
      </c>
      <c r="E40" s="157">
        <f t="shared" si="1"/>
        <v>717062.5</v>
      </c>
      <c r="F40" s="158">
        <f t="shared" si="2"/>
        <v>1.210608559226009</v>
      </c>
      <c r="G40" s="159">
        <f t="shared" si="3"/>
        <v>1.2091209633221747</v>
      </c>
      <c r="H40" s="159">
        <f t="shared" si="4"/>
        <v>1.0012303118951364</v>
      </c>
      <c r="I40" s="157">
        <f t="shared" si="5"/>
        <v>868082</v>
      </c>
      <c r="J40" s="3"/>
      <c r="K40" s="3"/>
      <c r="L40" s="3"/>
      <c r="M40" s="3"/>
      <c r="N40" s="3"/>
      <c r="O40" s="3"/>
    </row>
    <row r="41" spans="1:15" x14ac:dyDescent="0.3">
      <c r="A41" s="3"/>
      <c r="B41" s="154">
        <f>'ULTA Q Rev (Acual)'!B41</f>
        <v>41794</v>
      </c>
      <c r="C41" s="34">
        <v>1</v>
      </c>
      <c r="D41" s="4">
        <f>'ULTA Q Rev (Acual)'!C41</f>
        <v>713770</v>
      </c>
      <c r="E41" s="157">
        <f t="shared" si="1"/>
        <v>749584.875</v>
      </c>
      <c r="F41" s="158">
        <f t="shared" si="2"/>
        <v>0.95222038731771363</v>
      </c>
      <c r="G41" s="159">
        <f t="shared" si="3"/>
        <v>0.94732421495752306</v>
      </c>
      <c r="H41" s="159">
        <f t="shared" si="4"/>
        <v>1.0051684231046603</v>
      </c>
      <c r="I41" s="157">
        <f t="shared" si="5"/>
        <v>713770</v>
      </c>
      <c r="J41" s="3"/>
      <c r="K41" s="3"/>
      <c r="L41" s="3"/>
      <c r="M41" s="3"/>
      <c r="N41" s="3"/>
      <c r="O41" s="3"/>
    </row>
    <row r="42" spans="1:15" x14ac:dyDescent="0.3">
      <c r="A42" s="3"/>
      <c r="B42" s="154">
        <f>'ULTA Q Rev (Acual)'!B42</f>
        <v>41823</v>
      </c>
      <c r="C42" s="34">
        <v>2</v>
      </c>
      <c r="D42" s="4">
        <f>'ULTA Q Rev (Acual)'!C42</f>
        <v>734236</v>
      </c>
      <c r="E42" s="157">
        <f t="shared" si="1"/>
        <v>787897.375</v>
      </c>
      <c r="F42" s="158">
        <f t="shared" si="2"/>
        <v>0.93189293846803334</v>
      </c>
      <c r="G42" s="159">
        <f t="shared" si="3"/>
        <v>0.91084500801088319</v>
      </c>
      <c r="H42" s="159">
        <f t="shared" si="4"/>
        <v>1.0231081361505345</v>
      </c>
      <c r="I42" s="157">
        <f t="shared" si="5"/>
        <v>734236</v>
      </c>
      <c r="J42" s="3"/>
      <c r="K42" s="3"/>
      <c r="L42" s="3"/>
      <c r="M42" s="3"/>
      <c r="N42" s="3"/>
      <c r="O42" s="3"/>
    </row>
    <row r="43" spans="1:15" x14ac:dyDescent="0.3">
      <c r="B43" s="154">
        <f>'ULTA Q Rev (Acual)'!B43</f>
        <v>41976</v>
      </c>
      <c r="C43" s="34">
        <v>3</v>
      </c>
      <c r="D43" s="4">
        <f>'ULTA Q Rev (Acual)'!C43</f>
        <v>745722</v>
      </c>
      <c r="E43" s="157">
        <f t="shared" si="1"/>
        <v>829636.25</v>
      </c>
      <c r="F43" s="158">
        <f t="shared" si="2"/>
        <v>0.89885416650972039</v>
      </c>
      <c r="G43" s="159">
        <f t="shared" si="3"/>
        <v>0.9327098137094193</v>
      </c>
      <c r="H43" s="159">
        <f t="shared" si="4"/>
        <v>0.96370184305764528</v>
      </c>
      <c r="I43" s="157">
        <f t="shared" si="5"/>
        <v>745722</v>
      </c>
    </row>
    <row r="44" spans="1:15" x14ac:dyDescent="0.3">
      <c r="B44" s="154">
        <f>'ULTA Q Rev (Acual)'!B44</f>
        <v>42091</v>
      </c>
      <c r="C44" s="34">
        <v>4</v>
      </c>
      <c r="D44" s="4">
        <f>'ULTA Q Rev (Acual)'!C44</f>
        <v>1047641</v>
      </c>
      <c r="E44" s="157">
        <f t="shared" si="1"/>
        <v>866775.625</v>
      </c>
      <c r="F44" s="158">
        <f t="shared" si="2"/>
        <v>1.2086645837554557</v>
      </c>
      <c r="G44" s="159">
        <f t="shared" si="3"/>
        <v>1.2091209633221747</v>
      </c>
      <c r="H44" s="159">
        <f t="shared" si="4"/>
        <v>0.99962255259766153</v>
      </c>
      <c r="I44" s="157">
        <f t="shared" si="5"/>
        <v>1047641</v>
      </c>
    </row>
    <row r="45" spans="1:15" x14ac:dyDescent="0.3">
      <c r="B45" s="154">
        <f>'ULTA Q Rev (Acual)'!B45</f>
        <v>42157</v>
      </c>
      <c r="C45" s="34">
        <v>1</v>
      </c>
      <c r="D45" s="4">
        <f>'ULTA Q Rev (Acual)'!C45</f>
        <v>868122</v>
      </c>
      <c r="E45" s="157">
        <f t="shared" si="1"/>
        <v>905243.25</v>
      </c>
      <c r="F45" s="158">
        <f t="shared" si="2"/>
        <v>0.95899306622833147</v>
      </c>
      <c r="G45" s="159">
        <f t="shared" si="3"/>
        <v>0.94732421495752306</v>
      </c>
      <c r="H45" s="159">
        <f t="shared" si="4"/>
        <v>1.0123176955540312</v>
      </c>
      <c r="I45" s="157">
        <f t="shared" si="5"/>
        <v>868122</v>
      </c>
    </row>
    <row r="46" spans="1:15" x14ac:dyDescent="0.3">
      <c r="B46" s="154">
        <f>'ULTA Q Rev (Acual)'!B46</f>
        <v>42241</v>
      </c>
      <c r="C46" s="34">
        <v>2</v>
      </c>
      <c r="D46" s="4">
        <f>'ULTA Q Rev (Acual)'!C46</f>
        <v>876999</v>
      </c>
      <c r="E46" s="157">
        <f t="shared" si="1"/>
        <v>953447.25</v>
      </c>
      <c r="F46" s="158">
        <f t="shared" si="2"/>
        <v>0.91981910902779362</v>
      </c>
      <c r="G46" s="159">
        <f t="shared" si="3"/>
        <v>0.91084500801088319</v>
      </c>
      <c r="H46" s="159">
        <f t="shared" si="4"/>
        <v>1.0098525006318124</v>
      </c>
      <c r="I46" s="157">
        <f t="shared" si="5"/>
        <v>876999</v>
      </c>
    </row>
    <row r="47" spans="1:15" x14ac:dyDescent="0.3">
      <c r="B47" s="154">
        <f>'ULTA Q Rev (Acual)'!B47</f>
        <v>42339</v>
      </c>
      <c r="C47" s="34">
        <v>3</v>
      </c>
      <c r="D47" s="4">
        <f>'ULTA Q Rev (Acual)'!C47</f>
        <v>910700</v>
      </c>
      <c r="E47" s="157">
        <f t="shared" si="1"/>
        <v>1006728.25</v>
      </c>
      <c r="F47" s="158">
        <f t="shared" si="2"/>
        <v>0.90461353398993227</v>
      </c>
      <c r="G47" s="159">
        <f t="shared" si="3"/>
        <v>0.9327098137094193</v>
      </c>
      <c r="H47" s="159">
        <f t="shared" si="4"/>
        <v>0.96987671909685691</v>
      </c>
      <c r="I47" s="157">
        <f t="shared" si="5"/>
        <v>910700</v>
      </c>
    </row>
    <row r="48" spans="1:15" x14ac:dyDescent="0.3">
      <c r="B48" s="154">
        <f>'ULTA Q Rev (Acual)'!B48</f>
        <v>42463</v>
      </c>
      <c r="C48" s="3">
        <v>4</v>
      </c>
      <c r="D48" s="4">
        <f>'ULTA Q Rev (Acual)'!C48</f>
        <v>1268295</v>
      </c>
      <c r="E48" s="157">
        <f t="shared" si="1"/>
        <v>1056454.5</v>
      </c>
      <c r="F48" s="158">
        <f t="shared" si="2"/>
        <v>1.2005202306393696</v>
      </c>
      <c r="G48" s="159">
        <f t="shared" si="3"/>
        <v>1.2091209633221747</v>
      </c>
      <c r="H48" s="159">
        <f t="shared" si="4"/>
        <v>0.99288678887910964</v>
      </c>
      <c r="I48" s="157">
        <f t="shared" si="5"/>
        <v>1268295</v>
      </c>
    </row>
    <row r="49" spans="2:9" x14ac:dyDescent="0.3">
      <c r="B49" s="154">
        <f>'ULTA Q Rev (Acual)'!B49</f>
        <v>42522</v>
      </c>
      <c r="C49" s="34">
        <v>1</v>
      </c>
      <c r="D49" s="4">
        <f>'ULTA Q Rev (Acual)'!C49</f>
        <v>1073716</v>
      </c>
      <c r="E49" s="157">
        <f t="shared" si="1"/>
        <v>1108048</v>
      </c>
      <c r="F49" s="158">
        <f t="shared" si="2"/>
        <v>0.96901578270977429</v>
      </c>
      <c r="G49" s="159">
        <f t="shared" si="3"/>
        <v>0.94732421495752306</v>
      </c>
      <c r="H49" s="159">
        <f t="shared" si="4"/>
        <v>1.0228977233029179</v>
      </c>
      <c r="I49" s="157">
        <f t="shared" si="5"/>
        <v>1073716</v>
      </c>
    </row>
    <row r="50" spans="2:9" x14ac:dyDescent="0.3">
      <c r="B50" s="154">
        <f>'ULTA Q Rev (Acual)'!B50</f>
        <v>42613</v>
      </c>
      <c r="C50" s="34">
        <v>2</v>
      </c>
      <c r="D50" s="4">
        <f>'ULTA Q Rev (Acual)'!C50</f>
        <v>1069215</v>
      </c>
      <c r="E50" s="157">
        <f t="shared" si="1"/>
        <v>1174649.375</v>
      </c>
      <c r="F50" s="158">
        <f t="shared" si="2"/>
        <v>0.91024183280223514</v>
      </c>
      <c r="G50" s="159">
        <f t="shared" si="3"/>
        <v>0.91084500801088319</v>
      </c>
      <c r="H50" s="159">
        <f t="shared" si="4"/>
        <v>0.99933778502012616</v>
      </c>
      <c r="I50" s="157">
        <f t="shared" si="5"/>
        <v>1069215</v>
      </c>
    </row>
    <row r="51" spans="2:9" x14ac:dyDescent="0.3">
      <c r="B51" s="154">
        <f>'ULTA Q Rev (Acual)'!B51</f>
        <v>42704</v>
      </c>
      <c r="C51" s="34">
        <v>3</v>
      </c>
      <c r="D51" s="4">
        <f>'ULTA Q Rev (Acual)'!C51</f>
        <v>1131232</v>
      </c>
      <c r="E51" s="157">
        <f t="shared" si="1"/>
        <v>1243829.625</v>
      </c>
      <c r="F51" s="158">
        <f t="shared" si="2"/>
        <v>0.90947504164808746</v>
      </c>
      <c r="G51" s="159">
        <f t="shared" si="3"/>
        <v>0.9327098137094193</v>
      </c>
      <c r="H51" s="159">
        <f t="shared" si="4"/>
        <v>0.97508895937427065</v>
      </c>
      <c r="I51" s="157">
        <f t="shared" si="5"/>
        <v>1131232</v>
      </c>
    </row>
    <row r="52" spans="2:9" x14ac:dyDescent="0.3">
      <c r="B52" s="154">
        <f>'ULTA Q Rev (Acual)'!B52</f>
        <v>42827</v>
      </c>
      <c r="C52" s="34">
        <v>4</v>
      </c>
      <c r="D52" s="4">
        <f>'ULTA Q Rev (Acual)'!C52</f>
        <v>1580574</v>
      </c>
      <c r="E52" s="157">
        <f t="shared" si="1"/>
        <v>1301554.875</v>
      </c>
      <c r="F52" s="158">
        <f t="shared" si="2"/>
        <v>1.214373692849485</v>
      </c>
      <c r="G52" s="159">
        <f t="shared" si="3"/>
        <v>1.2091209633221747</v>
      </c>
      <c r="H52" s="159">
        <f t="shared" si="4"/>
        <v>1.0043442547823156</v>
      </c>
      <c r="I52" s="157">
        <f t="shared" si="5"/>
        <v>1580574</v>
      </c>
    </row>
    <row r="53" spans="2:9" x14ac:dyDescent="0.3">
      <c r="B53" s="154">
        <f>'ULTA Q Rev (Acual)'!B53</f>
        <v>42887</v>
      </c>
      <c r="C53" s="34">
        <v>1</v>
      </c>
      <c r="D53" s="4">
        <f>'ULTA Q Rev (Acual)'!C53</f>
        <v>1314879</v>
      </c>
      <c r="E53" s="157">
        <f t="shared" si="1"/>
        <v>1355503.375</v>
      </c>
      <c r="F53" s="158">
        <f t="shared" si="2"/>
        <v>0.97003004511147017</v>
      </c>
      <c r="G53" s="159">
        <f t="shared" si="3"/>
        <v>0.94732421495752306</v>
      </c>
      <c r="H53" s="159">
        <f t="shared" si="4"/>
        <v>1.0239683835749573</v>
      </c>
      <c r="I53" s="157">
        <f t="shared" si="5"/>
        <v>1314879.0000000002</v>
      </c>
    </row>
    <row r="54" spans="2:9" x14ac:dyDescent="0.3">
      <c r="B54" s="154">
        <f>'ULTA Q Rev (Acual)'!B54</f>
        <v>42977</v>
      </c>
      <c r="C54" s="34">
        <v>2</v>
      </c>
      <c r="D54" s="4">
        <f>'ULTA Q Rev (Acual)'!C54</f>
        <v>1289854</v>
      </c>
      <c r="E54" s="157">
        <f t="shared" si="1"/>
        <v>1426499.25</v>
      </c>
      <c r="F54" s="158">
        <f t="shared" si="2"/>
        <v>0.90420937830847092</v>
      </c>
      <c r="G54" s="159">
        <f t="shared" si="3"/>
        <v>0.91084500801088319</v>
      </c>
      <c r="H54" s="159">
        <f t="shared" si="4"/>
        <v>0.99271486406133658</v>
      </c>
      <c r="I54" s="157">
        <f t="shared" si="5"/>
        <v>1289854</v>
      </c>
    </row>
    <row r="55" spans="2:9" x14ac:dyDescent="0.3">
      <c r="B55" s="154">
        <f>'ULTA Q Rev (Acual)'!B55</f>
        <v>43075</v>
      </c>
      <c r="C55" s="34">
        <v>3</v>
      </c>
      <c r="D55" s="4">
        <f>'ULTA Q Rev (Acual)'!C55</f>
        <v>1342181</v>
      </c>
      <c r="E55" s="157">
        <f t="shared" si="1"/>
        <v>1499725</v>
      </c>
      <c r="F55" s="158">
        <f t="shared" si="2"/>
        <v>0.89495140775808901</v>
      </c>
      <c r="G55" s="159">
        <f t="shared" si="3"/>
        <v>0.9327098137094193</v>
      </c>
      <c r="H55" s="159">
        <f t="shared" si="4"/>
        <v>0.95951752045884042</v>
      </c>
      <c r="I55" s="157">
        <f t="shared" si="5"/>
        <v>1342181</v>
      </c>
    </row>
    <row r="56" spans="2:9" x14ac:dyDescent="0.3">
      <c r="B56" s="154">
        <f>'ULTA Q Rev (Acual)'!B56</f>
        <v>43186</v>
      </c>
      <c r="C56" s="34">
        <v>4</v>
      </c>
      <c r="D56" s="4">
        <f>'ULTA Q Rev (Acual)'!C56</f>
        <v>1937592</v>
      </c>
      <c r="E56" s="157">
        <f t="shared" si="1"/>
        <v>1553119.375</v>
      </c>
      <c r="F56" s="158">
        <f t="shared" si="2"/>
        <v>1.2475486631541119</v>
      </c>
      <c r="G56" s="159">
        <f t="shared" si="3"/>
        <v>1.2091209633221747</v>
      </c>
      <c r="H56" s="159">
        <f t="shared" si="4"/>
        <v>1.0317815181421994</v>
      </c>
      <c r="I56" s="157">
        <f t="shared" si="5"/>
        <v>1937592</v>
      </c>
    </row>
    <row r="57" spans="2:9" x14ac:dyDescent="0.3">
      <c r="B57" s="154">
        <f>'ULTA Q Rev (Acual)'!B57</f>
        <v>43250</v>
      </c>
      <c r="C57" s="34">
        <v>1</v>
      </c>
      <c r="D57" s="4">
        <f>'ULTA Q Rev (Acual)'!C57</f>
        <v>1543667</v>
      </c>
      <c r="E57" s="157">
        <f t="shared" si="1"/>
        <v>1605144</v>
      </c>
      <c r="F57" s="158">
        <f t="shared" si="2"/>
        <v>0.96170000946955536</v>
      </c>
      <c r="G57" s="159">
        <f t="shared" si="3"/>
        <v>0.94732421495752306</v>
      </c>
      <c r="H57" s="159">
        <f t="shared" si="4"/>
        <v>1.0151751578657544</v>
      </c>
      <c r="I57" s="157">
        <f t="shared" si="5"/>
        <v>1543667</v>
      </c>
    </row>
    <row r="58" spans="2:9" x14ac:dyDescent="0.3">
      <c r="B58" s="154">
        <f>'ULTA Q Rev (Acual)'!B58</f>
        <v>43341</v>
      </c>
      <c r="C58" s="34">
        <v>2</v>
      </c>
      <c r="D58" s="4">
        <f>'ULTA Q Rev (Acual)'!C58</f>
        <v>1488221</v>
      </c>
      <c r="E58" s="157">
        <f t="shared" si="1"/>
        <v>1655763.25</v>
      </c>
      <c r="F58" s="158">
        <f t="shared" si="2"/>
        <v>0.89881267747668636</v>
      </c>
      <c r="G58" s="159">
        <f t="shared" si="3"/>
        <v>0.91084500801088319</v>
      </c>
      <c r="H58" s="159">
        <f t="shared" si="4"/>
        <v>0.98678992536779309</v>
      </c>
      <c r="I58" s="157">
        <f t="shared" si="5"/>
        <v>1488221</v>
      </c>
    </row>
    <row r="59" spans="2:9" x14ac:dyDescent="0.3">
      <c r="B59" s="154">
        <f>'ULTA Q Rev (Acual)'!B59</f>
        <v>43439</v>
      </c>
      <c r="C59" s="34">
        <v>2.9227799227799198</v>
      </c>
      <c r="D59" s="4">
        <f>'ULTA Q Rev (Acual)'!C59</f>
        <v>1560011</v>
      </c>
      <c r="E59" s="157">
        <f t="shared" si="1"/>
        <v>1704074</v>
      </c>
      <c r="F59" s="158">
        <f t="shared" si="2"/>
        <v>0.91545965726840506</v>
      </c>
      <c r="G59" s="159">
        <f t="shared" si="3"/>
        <v>0.91084500801088319</v>
      </c>
      <c r="H59" s="159">
        <f t="shared" si="4"/>
        <v>1.0050663386382273</v>
      </c>
      <c r="I59" s="157">
        <f t="shared" si="5"/>
        <v>1560011.0000000002</v>
      </c>
    </row>
    <row r="60" spans="2:9" x14ac:dyDescent="0.3">
      <c r="B60" s="154">
        <f>'ULTA Q Rev (Acual)'!B60</f>
        <v>43550</v>
      </c>
      <c r="C60" s="34">
        <v>4</v>
      </c>
      <c r="D60" s="4">
        <f>'ULTA Q Rev (Acual)'!C60</f>
        <v>2124716</v>
      </c>
      <c r="E60" s="157">
        <f t="shared" si="1"/>
        <v>1751292.5</v>
      </c>
      <c r="F60" s="158">
        <f t="shared" si="2"/>
        <v>1.2132273734970029</v>
      </c>
      <c r="G60" s="159">
        <f t="shared" si="3"/>
        <v>1.2091209633221747</v>
      </c>
      <c r="H60" s="159">
        <f t="shared" si="4"/>
        <v>1.0033961946731496</v>
      </c>
      <c r="I60" s="157">
        <f t="shared" si="5"/>
        <v>2124716</v>
      </c>
    </row>
    <row r="61" spans="2:9" x14ac:dyDescent="0.3">
      <c r="B61" s="154">
        <f>'ULTA Q Rev (Acual)'!B61</f>
        <v>43613</v>
      </c>
      <c r="C61" s="34">
        <v>1</v>
      </c>
      <c r="D61" s="4">
        <f>'ULTA Q Rev (Acual)'!C61</f>
        <v>1743029</v>
      </c>
      <c r="E61" s="157">
        <f t="shared" si="1"/>
        <v>1788903.625</v>
      </c>
      <c r="F61" s="158">
        <f t="shared" si="2"/>
        <v>0.97435601093379187</v>
      </c>
      <c r="G61" s="159">
        <f t="shared" si="3"/>
        <v>0.94732421495752306</v>
      </c>
      <c r="H61" s="159">
        <f t="shared" si="4"/>
        <v>1.0285348939143089</v>
      </c>
      <c r="I61" s="157">
        <f t="shared" si="5"/>
        <v>1743029</v>
      </c>
    </row>
    <row r="62" spans="2:9" x14ac:dyDescent="0.3">
      <c r="B62" s="154">
        <f>'ULTA Q Rev (Acual)'!B62</f>
        <v>43704</v>
      </c>
      <c r="C62" s="34">
        <v>2</v>
      </c>
      <c r="D62" s="4">
        <f>'ULTA Q Rev (Acual)'!C62</f>
        <v>1666607</v>
      </c>
      <c r="E62" s="157">
        <f t="shared" si="1"/>
        <v>1826866.75</v>
      </c>
      <c r="F62" s="158">
        <f t="shared" si="2"/>
        <v>0.91227616901999009</v>
      </c>
      <c r="G62" s="159">
        <f t="shared" si="3"/>
        <v>0.91084500801088319</v>
      </c>
      <c r="H62" s="159">
        <f t="shared" si="4"/>
        <v>1.0015712453782146</v>
      </c>
      <c r="I62" s="157">
        <f t="shared" si="5"/>
        <v>1666607.0000000002</v>
      </c>
    </row>
    <row r="63" spans="2:9" x14ac:dyDescent="0.3">
      <c r="B63" s="154">
        <f>'ULTA Q Rev (Acual)'!B63</f>
        <v>43802</v>
      </c>
      <c r="C63" s="34">
        <v>2.9691119691119701</v>
      </c>
      <c r="D63" s="4">
        <f>'ULTA Q Rev (Acual)'!C63</f>
        <v>1682514</v>
      </c>
      <c r="E63" s="157">
        <f t="shared" si="1"/>
        <v>1778289.625</v>
      </c>
      <c r="F63" s="158">
        <f t="shared" si="2"/>
        <v>0.94614171749441545</v>
      </c>
      <c r="G63" s="159">
        <f t="shared" si="3"/>
        <v>0.91084500801088319</v>
      </c>
      <c r="H63" s="159">
        <f t="shared" si="4"/>
        <v>1.03875160886111</v>
      </c>
      <c r="I63" s="157">
        <f t="shared" si="5"/>
        <v>1682514</v>
      </c>
    </row>
    <row r="64" spans="2:9" x14ac:dyDescent="0.3">
      <c r="B64" s="154">
        <f>'ULTA Q Rev (Acual)'!B64</f>
        <v>43915</v>
      </c>
      <c r="C64" s="34">
        <v>4</v>
      </c>
      <c r="D64" s="4">
        <f>'ULTA Q Rev (Acual)'!C64</f>
        <v>2305918</v>
      </c>
      <c r="E64" s="157">
        <f t="shared" si="1"/>
        <v>1652237.5</v>
      </c>
      <c r="F64" s="158">
        <f t="shared" si="2"/>
        <v>1.3956334970002799</v>
      </c>
      <c r="G64" s="159">
        <f t="shared" si="3"/>
        <v>1.2091209633221747</v>
      </c>
      <c r="H64" s="159">
        <f t="shared" si="4"/>
        <v>1.1542546522108461</v>
      </c>
      <c r="I64" s="157">
        <f t="shared" si="5"/>
        <v>2305918</v>
      </c>
    </row>
    <row r="65" spans="2:9" x14ac:dyDescent="0.3">
      <c r="B65" s="154">
        <f>'ULTA Q Rev (Acual)'!B65</f>
        <v>43978</v>
      </c>
      <c r="C65" s="34">
        <v>1</v>
      </c>
      <c r="D65" s="4">
        <f>'ULTA Q Rev (Acual)'!C65</f>
        <v>1173210</v>
      </c>
      <c r="E65" s="157">
        <f t="shared" si="1"/>
        <v>1581102.625</v>
      </c>
      <c r="F65" s="158">
        <f t="shared" si="2"/>
        <v>0.7420201455930161</v>
      </c>
      <c r="G65" s="159">
        <f t="shared" si="3"/>
        <v>0.94732421495752306</v>
      </c>
      <c r="H65" s="159">
        <f t="shared" si="4"/>
        <v>0.78328003641951394</v>
      </c>
      <c r="I65" s="157">
        <f t="shared" si="5"/>
        <v>1173210</v>
      </c>
    </row>
    <row r="66" spans="2:9" x14ac:dyDescent="0.3">
      <c r="B66" s="154">
        <f>'ULTA Q Rev (Acual)'!B66</f>
        <v>44068</v>
      </c>
      <c r="C66" s="34">
        <v>2</v>
      </c>
      <c r="D66" s="4">
        <f>'ULTA Q Rev (Acual)'!C66</f>
        <v>1228009</v>
      </c>
      <c r="E66" s="157">
        <f t="shared" si="1"/>
        <v>1551390.375</v>
      </c>
      <c r="F66" s="158">
        <f t="shared" si="2"/>
        <v>0.79155383441127769</v>
      </c>
      <c r="G66" s="159">
        <f t="shared" si="3"/>
        <v>0.91084500801088319</v>
      </c>
      <c r="H66" s="159">
        <f t="shared" si="4"/>
        <v>0.86903241215526306</v>
      </c>
      <c r="I66" s="157">
        <f t="shared" si="5"/>
        <v>1228009</v>
      </c>
    </row>
    <row r="67" spans="2:9" x14ac:dyDescent="0.3">
      <c r="B67" s="154">
        <f>'ULTA Q Rev (Acual)'!B67</f>
        <v>44167</v>
      </c>
      <c r="C67" s="34">
        <v>3.0154440154440199</v>
      </c>
      <c r="D67" s="4">
        <f>'ULTA Q Rev (Acual)'!C67</f>
        <v>1552033</v>
      </c>
      <c r="E67" s="157">
        <f t="shared" si="1"/>
        <v>1633651.875</v>
      </c>
      <c r="F67" s="158">
        <f t="shared" si="2"/>
        <v>0.95003900387284168</v>
      </c>
      <c r="G67" s="159">
        <f t="shared" si="3"/>
        <v>0.9327098137094193</v>
      </c>
      <c r="H67" s="159">
        <f t="shared" si="4"/>
        <v>1.0185794015552421</v>
      </c>
      <c r="I67" s="157">
        <f t="shared" si="5"/>
        <v>1552033</v>
      </c>
    </row>
    <row r="68" spans="2:9" x14ac:dyDescent="0.3">
      <c r="B68" s="154">
        <f>'ULTA Q Rev (Acual)'!B68</f>
        <v>44279</v>
      </c>
      <c r="C68" s="34">
        <v>4</v>
      </c>
      <c r="D68" s="4">
        <f>'ULTA Q Rev (Acual)'!C68</f>
        <v>2198701</v>
      </c>
      <c r="E68" s="157">
        <f t="shared" si="1"/>
        <v>1821715.25</v>
      </c>
      <c r="F68" s="158">
        <f t="shared" si="2"/>
        <v>1.2069399978948412</v>
      </c>
      <c r="G68" s="159">
        <f t="shared" si="3"/>
        <v>1.2091209633221747</v>
      </c>
      <c r="H68" s="159">
        <f t="shared" si="4"/>
        <v>0.99819623884334852</v>
      </c>
      <c r="I68" s="157">
        <f t="shared" si="5"/>
        <v>2198701</v>
      </c>
    </row>
    <row r="69" spans="2:9" x14ac:dyDescent="0.3">
      <c r="B69" s="154">
        <f>'ULTA Q Rev (Acual)'!B69</f>
        <v>44342</v>
      </c>
      <c r="C69" s="34">
        <v>1</v>
      </c>
      <c r="D69" s="4">
        <f>'ULTA Q Rev (Acual)'!C69</f>
        <v>1938519</v>
      </c>
      <c r="E69" s="157">
        <f t="shared" si="1"/>
        <v>1969582.75</v>
      </c>
      <c r="F69" s="158">
        <f t="shared" si="2"/>
        <v>0.98422825849789763</v>
      </c>
      <c r="G69" s="159">
        <f t="shared" si="3"/>
        <v>0.94732421495752306</v>
      </c>
      <c r="H69" s="159">
        <f t="shared" si="4"/>
        <v>1.0389560859499714</v>
      </c>
      <c r="I69" s="157">
        <f t="shared" si="5"/>
        <v>1938518.9999999998</v>
      </c>
    </row>
    <row r="70" spans="2:9" x14ac:dyDescent="0.3">
      <c r="B70" s="154">
        <f>'ULTA Q Rev (Acual)'!B70</f>
        <v>44433</v>
      </c>
      <c r="C70" s="34">
        <v>2</v>
      </c>
      <c r="D70" s="4">
        <f>'ULTA Q Rev (Acual)'!C70</f>
        <v>1967207</v>
      </c>
      <c r="E70" s="157">
        <f t="shared" si="1"/>
        <v>2091386.375</v>
      </c>
      <c r="F70" s="158">
        <f t="shared" si="2"/>
        <v>0.94062341780341763</v>
      </c>
      <c r="G70" s="159">
        <f t="shared" si="3"/>
        <v>0.91084500801088319</v>
      </c>
      <c r="H70" s="159">
        <f t="shared" si="4"/>
        <v>1.0326931690140839</v>
      </c>
      <c r="I70" s="157">
        <f t="shared" si="5"/>
        <v>1967207.0000000002</v>
      </c>
    </row>
    <row r="71" spans="2:9" x14ac:dyDescent="0.3">
      <c r="B71" s="154">
        <f>'ULTA Q Rev (Acual)'!B71</f>
        <v>44531</v>
      </c>
      <c r="C71" s="34">
        <v>3.0617760617760599</v>
      </c>
      <c r="D71" s="4">
        <f>'ULTA Q Rev (Acual)'!C71</f>
        <v>1995775</v>
      </c>
      <c r="E71" s="157">
        <f t="shared" si="1"/>
        <v>2208645</v>
      </c>
      <c r="F71" s="158">
        <f t="shared" si="2"/>
        <v>0.90361964009607698</v>
      </c>
      <c r="G71" s="159">
        <f t="shared" si="3"/>
        <v>0.9327098137094193</v>
      </c>
      <c r="H71" s="159">
        <f t="shared" si="4"/>
        <v>0.96881112090195598</v>
      </c>
      <c r="I71" s="157">
        <f t="shared" si="5"/>
        <v>1995775</v>
      </c>
    </row>
    <row r="72" spans="2:9" x14ac:dyDescent="0.3">
      <c r="B72" s="154">
        <f>'ULTA Q Rev (Acual)'!B72</f>
        <v>44646</v>
      </c>
      <c r="C72" s="34">
        <v>4</v>
      </c>
      <c r="D72" s="4">
        <f>'ULTA Q Rev (Acual)'!C72</f>
        <v>2729388</v>
      </c>
      <c r="E72" s="157">
        <f t="shared" ref="E72:E83" si="6">AVERAGE(AVERAGE(D70:D73),AVERAGE(D71:D74))</f>
        <v>2300806</v>
      </c>
      <c r="F72" s="158">
        <f t="shared" ref="F72:F87" si="7">D72/E72</f>
        <v>1.1862747228579897</v>
      </c>
      <c r="G72" s="159">
        <f t="shared" ref="G72:G87" si="8">VLOOKUP(C72,$K$5:$M$8,3)</f>
        <v>1.2091209633221747</v>
      </c>
      <c r="H72" s="159">
        <f t="shared" ref="H72:H87" si="9">D72/(E72*G72)</f>
        <v>0.98110508281866793</v>
      </c>
      <c r="I72" s="157">
        <f t="shared" ref="I72:I87" si="10">E72*G72*H72</f>
        <v>2729388</v>
      </c>
    </row>
    <row r="73" spans="2:9" x14ac:dyDescent="0.3">
      <c r="B73" s="154">
        <f>'ULTA Q Rev (Acual)'!B73</f>
        <v>44706</v>
      </c>
      <c r="C73" s="34">
        <v>1</v>
      </c>
      <c r="D73" s="4">
        <f>'ULTA Q Rev (Acual)'!C73</f>
        <v>2345901</v>
      </c>
      <c r="E73" s="157">
        <f t="shared" si="6"/>
        <v>2384921.5</v>
      </c>
      <c r="F73" s="158">
        <f t="shared" si="7"/>
        <v>0.98363866483655749</v>
      </c>
      <c r="G73" s="159">
        <f t="shared" si="8"/>
        <v>0.94732421495752306</v>
      </c>
      <c r="H73" s="159">
        <f t="shared" si="9"/>
        <v>1.0383337080438324</v>
      </c>
      <c r="I73" s="157">
        <f t="shared" si="10"/>
        <v>2345900.9999999995</v>
      </c>
    </row>
    <row r="74" spans="2:9" x14ac:dyDescent="0.3">
      <c r="B74" s="154">
        <f>'ULTA Q Rev (Acual)'!B74</f>
        <v>44797</v>
      </c>
      <c r="C74" s="34">
        <v>2</v>
      </c>
      <c r="D74" s="4">
        <f>'ULTA Q Rev (Acual)'!C74</f>
        <v>2297113</v>
      </c>
      <c r="E74" s="157">
        <f t="shared" si="6"/>
        <v>2489971.875</v>
      </c>
      <c r="F74" s="158">
        <f t="shared" si="7"/>
        <v>0.92254576168656521</v>
      </c>
      <c r="G74" s="159">
        <f t="shared" si="8"/>
        <v>0.91084500801088319</v>
      </c>
      <c r="H74" s="159">
        <f t="shared" si="9"/>
        <v>1.0128460424910648</v>
      </c>
      <c r="I74" s="157">
        <f t="shared" si="10"/>
        <v>2297113</v>
      </c>
    </row>
    <row r="75" spans="2:9" x14ac:dyDescent="0.3">
      <c r="B75" s="154">
        <f>'ULTA Q Rev (Acual)'!B75</f>
        <v>44895</v>
      </c>
      <c r="C75" s="34">
        <v>3.1081081081081101</v>
      </c>
      <c r="D75" s="4">
        <f>'ULTA Q Rev (Acual)'!C75</f>
        <v>2338793</v>
      </c>
      <c r="E75" s="157">
        <f t="shared" si="6"/>
        <v>2588190.25</v>
      </c>
      <c r="F75" s="158">
        <f t="shared" si="7"/>
        <v>0.90364029460353623</v>
      </c>
      <c r="G75" s="159">
        <f t="shared" si="8"/>
        <v>0.9327098137094193</v>
      </c>
      <c r="H75" s="159">
        <f t="shared" si="9"/>
        <v>0.9688332655252414</v>
      </c>
      <c r="I75" s="157">
        <f t="shared" si="10"/>
        <v>2338793</v>
      </c>
    </row>
    <row r="76" spans="2:9" x14ac:dyDescent="0.3">
      <c r="B76" s="154">
        <f>'ULTA Q Rev (Acual)'!B76</f>
        <v>45012</v>
      </c>
      <c r="C76" s="3">
        <v>4</v>
      </c>
      <c r="D76" s="4">
        <f>'ULTA Q Rev (Acual)'!C76</f>
        <v>3226773</v>
      </c>
      <c r="E76" s="157">
        <f t="shared" si="6"/>
        <v>2653322.5</v>
      </c>
      <c r="F76" s="158">
        <f t="shared" si="7"/>
        <v>1.2161254427232271</v>
      </c>
      <c r="G76" s="159">
        <f t="shared" si="8"/>
        <v>1.2091209633221747</v>
      </c>
      <c r="H76" s="159">
        <f t="shared" si="9"/>
        <v>1.0057930344552186</v>
      </c>
      <c r="I76" s="157">
        <f t="shared" si="10"/>
        <v>3226773</v>
      </c>
    </row>
    <row r="77" spans="2:9" x14ac:dyDescent="0.3">
      <c r="B77" s="154">
        <f>'ULTA Q Rev (Acual)'!B77</f>
        <v>45076</v>
      </c>
      <c r="C77" s="34">
        <v>1</v>
      </c>
      <c r="D77" s="4">
        <f>'ULTA Q Rev (Acual)'!C77</f>
        <v>2634263</v>
      </c>
      <c r="E77" s="157">
        <f t="shared" si="6"/>
        <v>2701177</v>
      </c>
      <c r="F77" s="158">
        <f t="shared" si="7"/>
        <v>0.97522783586562445</v>
      </c>
      <c r="G77" s="159">
        <f t="shared" si="8"/>
        <v>0.94732421495752306</v>
      </c>
      <c r="H77" s="159">
        <f t="shared" si="9"/>
        <v>1.0294551965077265</v>
      </c>
      <c r="I77" s="157">
        <f t="shared" si="10"/>
        <v>2634263.0000000005</v>
      </c>
    </row>
    <row r="78" spans="2:9" x14ac:dyDescent="0.3">
      <c r="B78" s="154">
        <f>'ULTA Q Rev (Acual)'!B78</f>
        <v>45167</v>
      </c>
      <c r="C78" s="34">
        <v>2</v>
      </c>
      <c r="D78" s="4">
        <f>'ULTA Q Rev (Acual)'!C78</f>
        <v>2529809</v>
      </c>
      <c r="E78" s="157">
        <f t="shared" si="6"/>
        <v>2760885.125</v>
      </c>
      <c r="F78" s="158">
        <f t="shared" si="7"/>
        <v>0.91630360752514106</v>
      </c>
      <c r="G78" s="159">
        <f t="shared" si="8"/>
        <v>0.91084500801088319</v>
      </c>
      <c r="H78" s="159">
        <f t="shared" si="9"/>
        <v>1.0059928961198112</v>
      </c>
      <c r="I78" s="157">
        <f t="shared" si="10"/>
        <v>2529809</v>
      </c>
    </row>
    <row r="79" spans="2:9" x14ac:dyDescent="0.3">
      <c r="B79" s="154">
        <f>'ULTA Q Rev (Acual)'!B79</f>
        <v>45265</v>
      </c>
      <c r="C79" s="34">
        <v>3.1544401544401501</v>
      </c>
      <c r="D79" s="4">
        <f>'ULTA Q Rev (Acual)'!C79</f>
        <v>2488933</v>
      </c>
      <c r="E79" s="157">
        <f t="shared" si="6"/>
        <v>2813273.875</v>
      </c>
      <c r="F79" s="158">
        <f t="shared" si="7"/>
        <v>0.8847105225402202</v>
      </c>
      <c r="G79" s="159">
        <f t="shared" si="8"/>
        <v>0.9327098137094193</v>
      </c>
      <c r="H79" s="159">
        <f t="shared" si="9"/>
        <v>0.94853780836903134</v>
      </c>
      <c r="I79" s="157">
        <f t="shared" si="10"/>
        <v>2488933</v>
      </c>
    </row>
    <row r="80" spans="2:9" x14ac:dyDescent="0.3">
      <c r="B80" s="154">
        <f>'ULTA Q Rev (Acual)'!B80</f>
        <v>45378</v>
      </c>
      <c r="C80" s="9">
        <v>4</v>
      </c>
      <c r="D80" s="4">
        <f>'ULTA Q Rev (Acual)'!C80</f>
        <v>3554298</v>
      </c>
      <c r="E80" s="157">
        <f t="shared" si="6"/>
        <v>2827506.75</v>
      </c>
      <c r="F80" s="158">
        <f t="shared" si="7"/>
        <v>1.2570431529473802</v>
      </c>
      <c r="G80" s="159">
        <f t="shared" si="8"/>
        <v>1.2091209633221747</v>
      </c>
      <c r="H80" s="159">
        <f t="shared" si="9"/>
        <v>1.0396339084995556</v>
      </c>
      <c r="I80" s="157">
        <f t="shared" si="10"/>
        <v>3554298</v>
      </c>
    </row>
    <row r="81" spans="2:9" x14ac:dyDescent="0.3">
      <c r="B81" s="154">
        <f>'ULTA Q Rev (Acual)'!B81</f>
        <v>45441</v>
      </c>
      <c r="C81" s="9">
        <v>1</v>
      </c>
      <c r="D81" s="4">
        <f>'ULTA Q Rev (Acual)'!C81</f>
        <v>2725848</v>
      </c>
      <c r="E81" s="157">
        <f t="shared" si="6"/>
        <v>2835437.375</v>
      </c>
      <c r="F81" s="158">
        <f t="shared" si="7"/>
        <v>0.96135009858928733</v>
      </c>
      <c r="G81" s="159">
        <f t="shared" si="8"/>
        <v>0.94732421495752306</v>
      </c>
      <c r="H81" s="159">
        <f t="shared" si="9"/>
        <v>1.0148057902567107</v>
      </c>
      <c r="I81" s="157">
        <f t="shared" si="10"/>
        <v>2725848</v>
      </c>
    </row>
    <row r="82" spans="2:9" x14ac:dyDescent="0.3">
      <c r="B82" s="154">
        <f>'ULTA Q Rev (Acual)'!B82</f>
        <v>45532</v>
      </c>
      <c r="C82" s="9">
        <v>2</v>
      </c>
      <c r="D82" s="4">
        <f>'ULTA Q Rev (Acual)'!C82</f>
        <v>2552087</v>
      </c>
      <c r="E82" s="157">
        <f t="shared" si="6"/>
        <v>2832248.375</v>
      </c>
      <c r="F82" s="158">
        <f t="shared" si="7"/>
        <v>0.90108163624597371</v>
      </c>
      <c r="G82" s="159">
        <f t="shared" si="8"/>
        <v>0.91084500801088319</v>
      </c>
      <c r="H82" s="159">
        <f t="shared" si="9"/>
        <v>0.98928097351465871</v>
      </c>
      <c r="I82" s="157">
        <f t="shared" si="10"/>
        <v>2552087</v>
      </c>
    </row>
    <row r="83" spans="2:9" x14ac:dyDescent="0.3">
      <c r="B83" s="154">
        <f>'ULTA Q Rev (Acual)'!B83</f>
        <v>45631</v>
      </c>
      <c r="C83" s="9">
        <v>3.2007722007721999</v>
      </c>
      <c r="D83" s="4">
        <f>'ULTA Q Rev (Acual)'!C83</f>
        <v>2530100</v>
      </c>
      <c r="E83" s="157">
        <f t="shared" si="6"/>
        <v>2839228.375</v>
      </c>
      <c r="F83" s="158">
        <f t="shared" si="7"/>
        <v>0.89112239870454235</v>
      </c>
      <c r="G83" s="159">
        <f t="shared" si="8"/>
        <v>0.9327098137094193</v>
      </c>
      <c r="H83" s="159">
        <f t="shared" si="9"/>
        <v>0.95541226821718284</v>
      </c>
      <c r="I83" s="157">
        <f t="shared" si="10"/>
        <v>2530100</v>
      </c>
    </row>
    <row r="84" spans="2:9" x14ac:dyDescent="0.3">
      <c r="B84" s="154">
        <f>'ULTA Q Rev (Acual)'!B84</f>
        <v>45743</v>
      </c>
      <c r="C84" s="9">
        <v>4</v>
      </c>
      <c r="D84" s="4">
        <f>'ULTA Q Rev (Acual)'!C84</f>
        <v>3487619</v>
      </c>
      <c r="E84" s="157">
        <f>AVERAGE(AVERAGE(D82:D85),AVERAGE(D83:D87))</f>
        <v>2878489.4249999998</v>
      </c>
      <c r="F84" s="158">
        <f t="shared" si="7"/>
        <v>1.2116143174644458</v>
      </c>
      <c r="G84" s="159">
        <f t="shared" si="8"/>
        <v>1.2091209633221747</v>
      </c>
      <c r="H84" s="159">
        <f t="shared" si="9"/>
        <v>1.002062121340962</v>
      </c>
      <c r="I84" s="157">
        <f t="shared" si="10"/>
        <v>3487618.9999999995</v>
      </c>
    </row>
    <row r="85" spans="2:9" x14ac:dyDescent="0.3">
      <c r="B85" s="154">
        <f>'ULTA Q Rev (Acual)'!B85</f>
        <v>45806</v>
      </c>
      <c r="C85" s="9">
        <v>1</v>
      </c>
      <c r="D85" s="4">
        <f>'ULTA Q Rev (Acual)'!C85</f>
        <v>2848367</v>
      </c>
      <c r="E85" s="157">
        <f>AVERAGE(AVERAGE(D83:D86),AVERAGE(D84:D88))</f>
        <v>2954579.125</v>
      </c>
      <c r="F85" s="158">
        <f t="shared" si="7"/>
        <v>0.96405169044169703</v>
      </c>
      <c r="G85" s="159">
        <f t="shared" si="8"/>
        <v>0.94732421495752306</v>
      </c>
      <c r="H85" s="159">
        <f t="shared" si="9"/>
        <v>1.0176576036166498</v>
      </c>
      <c r="I85" s="157">
        <f t="shared" si="10"/>
        <v>2848367</v>
      </c>
    </row>
    <row r="86" spans="2:9" x14ac:dyDescent="0.3">
      <c r="B86" s="154">
        <f>'ULTA Q Rev (Acual)'!B86</f>
        <v>45897</v>
      </c>
      <c r="C86" s="9">
        <v>2</v>
      </c>
      <c r="D86" s="4">
        <f>'ULTA Q Rev (Acual)'!C86</f>
        <v>2788469</v>
      </c>
      <c r="E86" s="157">
        <f>AVERAGE(AVERAGE(D84:D87),AVERAGE(D85:D89))</f>
        <v>2913502.916666667</v>
      </c>
      <c r="F86" s="158">
        <f t="shared" si="7"/>
        <v>0.95708467770826255</v>
      </c>
      <c r="G86" s="159">
        <f t="shared" si="8"/>
        <v>0.91084500801088319</v>
      </c>
      <c r="H86" s="159">
        <f t="shared" si="9"/>
        <v>1.0507656838328161</v>
      </c>
      <c r="I86" s="157">
        <f t="shared" si="10"/>
        <v>2788469</v>
      </c>
    </row>
    <row r="87" spans="2:9" x14ac:dyDescent="0.3">
      <c r="B87" s="155">
        <f>'ULTA Q Rev (Acual)'!B87</f>
        <v>45995</v>
      </c>
      <c r="C87" s="14">
        <v>3</v>
      </c>
      <c r="D87" s="28">
        <f>'ULTA Q Rev (Acual)'!C87</f>
        <v>2857623</v>
      </c>
      <c r="E87" s="161">
        <f>AVERAGE(AVERAGE(D85:D88),AVERAGE(D86:D90))</f>
        <v>2827266.166666667</v>
      </c>
      <c r="F87" s="162">
        <f t="shared" si="7"/>
        <v>1.0107371685380169</v>
      </c>
      <c r="G87" s="163">
        <f t="shared" si="8"/>
        <v>0.9327098137094193</v>
      </c>
      <c r="H87" s="163">
        <f t="shared" si="9"/>
        <v>1.0836566246883155</v>
      </c>
      <c r="I87" s="161">
        <f t="shared" si="10"/>
        <v>2857623</v>
      </c>
    </row>
    <row r="88" spans="2:9" x14ac:dyDescent="0.3">
      <c r="B88" t="s">
        <v>208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BF63-6CD1-416C-8DE0-5F9407AF63C0}">
  <dimension ref="A1:L89"/>
  <sheetViews>
    <sheetView zoomScale="45" workbookViewId="0">
      <selection activeCell="D16" sqref="D16"/>
    </sheetView>
  </sheetViews>
  <sheetFormatPr defaultRowHeight="14" x14ac:dyDescent="0.3"/>
  <cols>
    <col min="1" max="1" width="10.90625" customWidth="1"/>
    <col min="2" max="2" width="11.36328125" customWidth="1"/>
    <col min="3" max="3" width="12.08984375" customWidth="1"/>
    <col min="4" max="4" width="18.54296875" customWidth="1"/>
    <col min="5" max="5" width="24.54296875" customWidth="1"/>
    <col min="6" max="6" width="31.54296875" customWidth="1"/>
    <col min="7" max="7" width="18.36328125" customWidth="1"/>
  </cols>
  <sheetData>
    <row r="1" spans="1:12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22.5" x14ac:dyDescent="0.3">
      <c r="A2" s="3"/>
      <c r="B2" s="114" t="s">
        <v>213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5" x14ac:dyDescent="0.3">
      <c r="A4" s="3"/>
      <c r="B4" s="48" t="s">
        <v>0</v>
      </c>
      <c r="C4" s="48" t="s">
        <v>1</v>
      </c>
      <c r="D4" s="48" t="s">
        <v>108</v>
      </c>
      <c r="E4" s="3"/>
      <c r="F4" s="30" t="s">
        <v>110</v>
      </c>
      <c r="G4" s="27"/>
      <c r="H4" s="3"/>
      <c r="I4" s="3"/>
      <c r="J4" s="3"/>
      <c r="K4" s="3"/>
      <c r="L4" s="3"/>
    </row>
    <row r="5" spans="1:12" x14ac:dyDescent="0.3">
      <c r="A5" s="6" t="s">
        <v>97</v>
      </c>
      <c r="B5" s="154">
        <f>'ULTA Q Rev (Acual)'!B5</f>
        <v>38472</v>
      </c>
      <c r="C5" s="4">
        <f>'ULTA Q Rev (Acual)'!C5</f>
        <v>144769</v>
      </c>
      <c r="D5" s="156">
        <f>C5</f>
        <v>144769</v>
      </c>
      <c r="E5" s="36"/>
      <c r="F5" s="6" t="s">
        <v>5</v>
      </c>
      <c r="G5" s="170">
        <v>0.39536801530609783</v>
      </c>
      <c r="H5" s="3"/>
      <c r="I5" s="3"/>
      <c r="J5" s="3"/>
      <c r="K5" s="3"/>
      <c r="L5" s="3"/>
    </row>
    <row r="6" spans="1:12" x14ac:dyDescent="0.3">
      <c r="A6" s="3"/>
      <c r="B6" s="154">
        <f>'ULTA Q Rev (Acual)'!B6</f>
        <v>38564</v>
      </c>
      <c r="C6" s="4">
        <f>'ULTA Q Rev (Acual)'!C6</f>
        <v>144769</v>
      </c>
      <c r="D6" s="156">
        <f>D5+$G$5*(C5-D5)</f>
        <v>144769</v>
      </c>
      <c r="E6" s="36"/>
      <c r="F6" s="6" t="s">
        <v>101</v>
      </c>
      <c r="G6" s="43">
        <f>SUMXMY2(C5:C87,D5:D87)/COUNT(D5:D87)</f>
        <v>79302709713.600403</v>
      </c>
      <c r="H6" s="36"/>
      <c r="I6" s="3"/>
      <c r="J6" s="3"/>
      <c r="K6" s="3"/>
      <c r="L6" s="3"/>
    </row>
    <row r="7" spans="1:12" x14ac:dyDescent="0.3">
      <c r="A7" s="3"/>
      <c r="B7" s="154">
        <f>'ULTA Q Rev (Acual)'!B7</f>
        <v>38656</v>
      </c>
      <c r="C7" s="4">
        <f>'ULTA Q Rev (Acual)'!C7</f>
        <v>144769</v>
      </c>
      <c r="D7" s="156">
        <f t="shared" ref="D7:D70" si="0">D6+$G$5*(C6-D6)</f>
        <v>144769</v>
      </c>
      <c r="E7" s="36"/>
      <c r="F7" s="6" t="s">
        <v>102</v>
      </c>
      <c r="G7" s="169" cm="1">
        <f t="array" ref="G7">AVERAGE(ABS(C5:C87-D5:D87)/C5:C87)</f>
        <v>0.10737155203040437</v>
      </c>
      <c r="H7" s="36"/>
      <c r="I7" s="3"/>
      <c r="J7" s="3"/>
      <c r="K7" s="3"/>
      <c r="L7" s="3"/>
    </row>
    <row r="8" spans="1:12" x14ac:dyDescent="0.3">
      <c r="A8" s="3"/>
      <c r="B8" s="154">
        <f>'ULTA Q Rev (Acual)'!B8</f>
        <v>38748</v>
      </c>
      <c r="C8" s="4">
        <f>'ULTA Q Rev (Acual)'!C8</f>
        <v>144768</v>
      </c>
      <c r="D8" s="156">
        <f t="shared" si="0"/>
        <v>144769</v>
      </c>
      <c r="E8" s="36"/>
      <c r="F8" s="3"/>
      <c r="G8" s="3"/>
      <c r="H8" s="3"/>
      <c r="I8" s="3"/>
      <c r="J8" s="3"/>
      <c r="K8" s="3"/>
      <c r="L8" s="3"/>
    </row>
    <row r="9" spans="1:12" x14ac:dyDescent="0.3">
      <c r="A9" s="3"/>
      <c r="B9" s="154">
        <f>'ULTA Q Rev (Acual)'!B9</f>
        <v>38837</v>
      </c>
      <c r="C9" s="4">
        <f>'ULTA Q Rev (Acual)'!C9</f>
        <v>159468</v>
      </c>
      <c r="D9" s="156">
        <f t="shared" si="0"/>
        <v>144768.60463198469</v>
      </c>
      <c r="E9" s="36"/>
      <c r="F9" s="3"/>
      <c r="G9" s="3"/>
      <c r="H9" s="3"/>
      <c r="I9" s="3"/>
      <c r="J9" s="3"/>
      <c r="K9" s="3"/>
      <c r="L9" s="3"/>
    </row>
    <row r="10" spans="1:12" x14ac:dyDescent="0.3">
      <c r="A10" s="3"/>
      <c r="B10" s="154">
        <f>'ULTA Q Rev (Acual)'!B10</f>
        <v>38929</v>
      </c>
      <c r="C10" s="4">
        <f>'ULTA Q Rev (Acual)'!C10</f>
        <v>162558</v>
      </c>
      <c r="D10" s="156">
        <f t="shared" si="0"/>
        <v>150580.27540483655</v>
      </c>
      <c r="E10" s="36"/>
      <c r="F10" s="3"/>
      <c r="G10" s="3"/>
      <c r="H10" s="3"/>
      <c r="I10" s="3"/>
      <c r="J10" s="3"/>
      <c r="K10" s="3"/>
      <c r="L10" s="3"/>
    </row>
    <row r="11" spans="1:12" x14ac:dyDescent="0.3">
      <c r="A11" s="3"/>
      <c r="B11" s="154">
        <f>'ULTA Q Rev (Acual)'!B11</f>
        <v>39021</v>
      </c>
      <c r="C11" s="4">
        <f>'ULTA Q Rev (Acual)'!C11</f>
        <v>216544</v>
      </c>
      <c r="D11" s="156">
        <f t="shared" si="0"/>
        <v>155315.88460590935</v>
      </c>
      <c r="E11" s="36"/>
      <c r="F11" s="3"/>
      <c r="G11" s="3"/>
      <c r="H11" s="3"/>
      <c r="I11" s="3"/>
      <c r="J11" s="3"/>
      <c r="K11" s="3"/>
      <c r="L11" s="3"/>
    </row>
    <row r="12" spans="1:12" x14ac:dyDescent="0.3">
      <c r="A12" s="3"/>
      <c r="B12" s="154">
        <f>'ULTA Q Rev (Acual)'!B12</f>
        <v>39113</v>
      </c>
      <c r="C12" s="4">
        <f>'ULTA Q Rev (Acual)'!C12</f>
        <v>216543</v>
      </c>
      <c r="D12" s="156">
        <f t="shared" si="0"/>
        <v>179523.52307020369</v>
      </c>
      <c r="E12" s="36"/>
      <c r="F12" s="3"/>
      <c r="G12" s="3"/>
      <c r="H12" s="3"/>
      <c r="I12" s="3"/>
      <c r="J12" s="3"/>
      <c r="K12" s="3"/>
      <c r="L12" s="3"/>
    </row>
    <row r="13" spans="1:12" x14ac:dyDescent="0.3">
      <c r="A13" s="3"/>
      <c r="B13" s="154">
        <f>'ULTA Q Rev (Acual)'!B13</f>
        <v>39202</v>
      </c>
      <c r="C13" s="4">
        <f>'ULTA Q Rev (Acual)'!C13</f>
        <v>194113</v>
      </c>
      <c r="D13" s="156">
        <f t="shared" si="0"/>
        <v>194159.84019160713</v>
      </c>
      <c r="E13" s="36"/>
      <c r="F13" s="3"/>
      <c r="G13" s="3"/>
      <c r="H13" s="3"/>
      <c r="I13" s="3"/>
      <c r="J13" s="3"/>
      <c r="K13" s="3"/>
      <c r="L13" s="3"/>
    </row>
    <row r="14" spans="1:12" x14ac:dyDescent="0.3">
      <c r="A14" s="3"/>
      <c r="B14" s="154">
        <f>'ULTA Q Rev (Acual)'!B14</f>
        <v>39293</v>
      </c>
      <c r="C14" s="4">
        <f>'ULTA Q Rev (Acual)'!C14</f>
        <v>200449</v>
      </c>
      <c r="D14" s="156">
        <f t="shared" si="0"/>
        <v>194141.32107801485</v>
      </c>
      <c r="E14" s="36"/>
      <c r="F14" s="3"/>
      <c r="G14" s="3"/>
      <c r="H14" s="3"/>
      <c r="I14" s="3"/>
      <c r="J14" s="3"/>
      <c r="K14" s="3"/>
      <c r="L14" s="3"/>
    </row>
    <row r="15" spans="1:12" x14ac:dyDescent="0.3">
      <c r="A15" s="3"/>
      <c r="B15" s="154">
        <f>'ULTA Q Rev (Acual)'!B15</f>
        <v>39386</v>
      </c>
      <c r="C15" s="4">
        <f>'ULTA Q Rev (Acual)'!C15</f>
        <v>208235</v>
      </c>
      <c r="D15" s="156">
        <f t="shared" si="0"/>
        <v>196635.17557458824</v>
      </c>
      <c r="E15" s="36"/>
      <c r="F15" s="3"/>
      <c r="G15" s="3"/>
      <c r="H15" s="3"/>
      <c r="I15" s="3"/>
      <c r="J15" s="3"/>
      <c r="K15" s="3"/>
      <c r="L15" s="3"/>
    </row>
    <row r="16" spans="1:12" x14ac:dyDescent="0.3">
      <c r="A16" s="3"/>
      <c r="B16" s="154">
        <f>'ULTA Q Rev (Acual)'!B16</f>
        <v>39478</v>
      </c>
      <c r="C16" s="4">
        <f>'ULTA Q Rev (Acual)'!C16</f>
        <v>309344</v>
      </c>
      <c r="D16" s="156">
        <f t="shared" si="0"/>
        <v>201221.3751355625</v>
      </c>
      <c r="E16" s="36"/>
      <c r="F16" s="3"/>
      <c r="G16" s="3"/>
      <c r="H16" s="3"/>
      <c r="I16" s="3"/>
      <c r="J16" s="3"/>
      <c r="K16" s="3"/>
      <c r="L16" s="3"/>
    </row>
    <row r="17" spans="1:12" x14ac:dyDescent="0.3">
      <c r="A17" s="3"/>
      <c r="B17" s="154">
        <f>'ULTA Q Rev (Acual)'!B17</f>
        <v>39568</v>
      </c>
      <c r="C17" s="4">
        <f>'ULTA Q Rev (Acual)'!C17</f>
        <v>239298</v>
      </c>
      <c r="D17" s="156">
        <f t="shared" si="0"/>
        <v>243969.60273790089</v>
      </c>
      <c r="E17" s="36"/>
      <c r="F17" s="3"/>
      <c r="G17" s="3"/>
      <c r="H17" s="3"/>
      <c r="I17" s="3"/>
      <c r="J17" s="3"/>
      <c r="K17" s="3"/>
      <c r="L17" s="3"/>
    </row>
    <row r="18" spans="1:12" x14ac:dyDescent="0.3">
      <c r="A18" s="3"/>
      <c r="B18" s="154">
        <f>'ULTA Q Rev (Acual)'!B18</f>
        <v>39660</v>
      </c>
      <c r="C18" s="4">
        <f>'ULTA Q Rev (Acual)'!C18</f>
        <v>249111</v>
      </c>
      <c r="D18" s="156">
        <f t="shared" si="0"/>
        <v>242122.60043511848</v>
      </c>
      <c r="E18" s="36"/>
      <c r="F18" s="3"/>
      <c r="G18" s="3"/>
      <c r="H18" s="3"/>
      <c r="I18" s="3"/>
      <c r="J18" s="3"/>
      <c r="K18" s="3"/>
      <c r="L18" s="3"/>
    </row>
    <row r="19" spans="1:12" x14ac:dyDescent="0.3">
      <c r="A19" s="3"/>
      <c r="B19" s="154">
        <f>'ULTA Q Rev (Acual)'!B19</f>
        <v>39752</v>
      </c>
      <c r="C19" s="4">
        <f>'ULTA Q Rev (Acual)'!C19</f>
        <v>254843</v>
      </c>
      <c r="D19" s="156">
        <f t="shared" si="0"/>
        <v>244885.5901012517</v>
      </c>
      <c r="E19" s="36"/>
      <c r="F19" s="3"/>
      <c r="G19" s="3"/>
      <c r="H19" s="3"/>
      <c r="I19" s="3"/>
      <c r="J19" s="3"/>
      <c r="K19" s="3"/>
      <c r="L19" s="3"/>
    </row>
    <row r="20" spans="1:12" x14ac:dyDescent="0.3">
      <c r="A20" s="3"/>
      <c r="B20" s="154">
        <f>'ULTA Q Rev (Acual)'!B20</f>
        <v>39844</v>
      </c>
      <c r="C20" s="4">
        <f>'ULTA Q Rev (Acual)'!C20</f>
        <v>341394</v>
      </c>
      <c r="D20" s="156">
        <f t="shared" si="0"/>
        <v>248822.4314905091</v>
      </c>
      <c r="E20" s="36"/>
      <c r="F20" s="3"/>
      <c r="G20" s="3"/>
      <c r="H20" s="3"/>
      <c r="I20" s="3"/>
      <c r="J20" s="3"/>
      <c r="K20" s="3"/>
      <c r="L20" s="3"/>
    </row>
    <row r="21" spans="1:12" x14ac:dyDescent="0.3">
      <c r="A21" s="3"/>
      <c r="B21" s="154">
        <f>'ULTA Q Rev (Acual)'!B21</f>
        <v>39933</v>
      </c>
      <c r="C21" s="4">
        <f>'ULTA Q Rev (Acual)'!C21</f>
        <v>268825</v>
      </c>
      <c r="D21" s="156">
        <f t="shared" si="0"/>
        <v>285422.26880587899</v>
      </c>
      <c r="E21" s="36"/>
      <c r="F21" s="3"/>
      <c r="G21" s="3"/>
      <c r="H21" s="3"/>
      <c r="I21" s="3"/>
      <c r="J21" s="3"/>
      <c r="K21" s="3"/>
      <c r="L21" s="3"/>
    </row>
    <row r="22" spans="1:12" x14ac:dyDescent="0.3">
      <c r="A22" s="3"/>
      <c r="B22" s="154">
        <f>'ULTA Q Rev (Acual)'!B22</f>
        <v>40025</v>
      </c>
      <c r="C22" s="4">
        <f>'ULTA Q Rev (Acual)'!C22</f>
        <v>273539</v>
      </c>
      <c r="D22" s="156">
        <f t="shared" si="0"/>
        <v>278860.23957859678</v>
      </c>
      <c r="E22" s="36"/>
      <c r="F22" s="3"/>
      <c r="G22" s="3"/>
      <c r="H22" s="3"/>
      <c r="I22" s="3"/>
      <c r="J22" s="3"/>
      <c r="K22" s="3"/>
      <c r="L22" s="3"/>
    </row>
    <row r="23" spans="1:12" x14ac:dyDescent="0.3">
      <c r="A23" s="3"/>
      <c r="B23" s="154">
        <f>'ULTA Q Rev (Acual)'!B23</f>
        <v>40117</v>
      </c>
      <c r="C23" s="4">
        <f>'ULTA Q Rev (Acual)'!C23</f>
        <v>284043</v>
      </c>
      <c r="D23" s="156">
        <f t="shared" si="0"/>
        <v>276756.39164743869</v>
      </c>
      <c r="E23" s="36"/>
      <c r="F23" s="3"/>
      <c r="G23" s="3"/>
      <c r="H23" s="3"/>
      <c r="I23" s="3"/>
      <c r="J23" s="3"/>
      <c r="K23" s="3"/>
      <c r="L23" s="3"/>
    </row>
    <row r="24" spans="1:12" x14ac:dyDescent="0.3">
      <c r="A24" s="3"/>
      <c r="B24" s="154">
        <f>'ULTA Q Rev (Acual)'!B24</f>
        <v>40209</v>
      </c>
      <c r="C24" s="4">
        <f>'ULTA Q Rev (Acual)'!C24</f>
        <v>396364</v>
      </c>
      <c r="D24" s="156">
        <f t="shared" si="0"/>
        <v>279637.28353010368</v>
      </c>
      <c r="E24" s="36"/>
      <c r="F24" s="3"/>
      <c r="G24" s="3"/>
      <c r="H24" s="3"/>
      <c r="I24" s="3"/>
      <c r="J24" s="3"/>
      <c r="K24" s="3"/>
      <c r="L24" s="3"/>
    </row>
    <row r="25" spans="1:12" x14ac:dyDescent="0.3">
      <c r="A25" s="3"/>
      <c r="B25" s="154">
        <f>'ULTA Q Rev (Acual)'!B25</f>
        <v>40298</v>
      </c>
      <c r="C25" s="4">
        <f>'ULTA Q Rev (Acual)'!C25</f>
        <v>320196</v>
      </c>
      <c r="D25" s="156">
        <f t="shared" si="0"/>
        <v>325787.29375400417</v>
      </c>
      <c r="E25" s="36"/>
      <c r="F25" s="3"/>
      <c r="G25" s="3"/>
      <c r="H25" s="3"/>
      <c r="I25" s="3"/>
      <c r="J25" s="3"/>
      <c r="K25" s="3"/>
      <c r="L25" s="3"/>
    </row>
    <row r="26" spans="1:12" x14ac:dyDescent="0.3">
      <c r="A26" s="3"/>
      <c r="B26" s="154">
        <f>'ULTA Q Rev (Acual)'!B26</f>
        <v>40390</v>
      </c>
      <c r="C26" s="4">
        <f>'ULTA Q Rev (Acual)'!C26</f>
        <v>321804</v>
      </c>
      <c r="D26" s="156">
        <f t="shared" si="0"/>
        <v>323576.67503949016</v>
      </c>
      <c r="E26" s="36"/>
      <c r="F26" s="3"/>
      <c r="G26" s="3"/>
      <c r="H26" s="3"/>
      <c r="I26" s="3"/>
      <c r="J26" s="3"/>
      <c r="K26" s="3"/>
      <c r="L26" s="3"/>
    </row>
    <row r="27" spans="1:12" x14ac:dyDescent="0.3">
      <c r="A27" s="3"/>
      <c r="B27" s="154">
        <f>'ULTA Q Rev (Acual)'!B27</f>
        <v>40482</v>
      </c>
      <c r="C27" s="4">
        <f>'ULTA Q Rev (Acual)'!C27</f>
        <v>339179</v>
      </c>
      <c r="D27" s="156">
        <f t="shared" si="0"/>
        <v>322875.81602734426</v>
      </c>
      <c r="E27" s="36"/>
      <c r="F27" s="3"/>
      <c r="G27" s="3"/>
      <c r="H27" s="3"/>
      <c r="I27" s="3"/>
      <c r="J27" s="3"/>
      <c r="K27" s="3"/>
      <c r="L27" s="3"/>
    </row>
    <row r="28" spans="1:12" x14ac:dyDescent="0.3">
      <c r="A28" s="3"/>
      <c r="B28" s="154">
        <f>'ULTA Q Rev (Acual)'!B28</f>
        <v>40574</v>
      </c>
      <c r="C28" s="4">
        <f>'ULTA Q Rev (Acual)'!C28</f>
        <v>473659</v>
      </c>
      <c r="D28" s="156">
        <f t="shared" si="0"/>
        <v>329321.57351778337</v>
      </c>
      <c r="E28" s="36"/>
      <c r="F28" s="3"/>
      <c r="G28" s="3"/>
      <c r="H28" s="3"/>
      <c r="I28" s="3"/>
      <c r="J28" s="3"/>
      <c r="K28" s="3"/>
      <c r="L28" s="3"/>
    </row>
    <row r="29" spans="1:12" x14ac:dyDescent="0.3">
      <c r="A29" s="3"/>
      <c r="B29" s="154">
        <f>'ULTA Q Rev (Acual)'!B29</f>
        <v>40663</v>
      </c>
      <c r="C29" s="4">
        <f>'ULTA Q Rev (Acual)'!C29</f>
        <v>386006</v>
      </c>
      <c r="D29" s="156">
        <f t="shared" si="0"/>
        <v>386387.97536044719</v>
      </c>
      <c r="E29" s="36"/>
      <c r="F29" s="3"/>
      <c r="G29" s="3"/>
      <c r="H29" s="3"/>
      <c r="I29" s="3"/>
      <c r="J29" s="3"/>
      <c r="K29" s="3"/>
      <c r="L29" s="3"/>
    </row>
    <row r="30" spans="1:12" x14ac:dyDescent="0.3">
      <c r="A30" s="3"/>
      <c r="B30" s="154">
        <f>'ULTA Q Rev (Acual)'!B30</f>
        <v>40755</v>
      </c>
      <c r="C30" s="4">
        <f>'ULTA Q Rev (Acual)'!C30</f>
        <v>394567</v>
      </c>
      <c r="D30" s="156">
        <f t="shared" si="0"/>
        <v>386236.95452029136</v>
      </c>
      <c r="E30" s="36"/>
      <c r="F30" s="3"/>
      <c r="G30" s="3"/>
      <c r="H30" s="3"/>
      <c r="I30" s="3"/>
      <c r="J30" s="3"/>
      <c r="K30" s="3"/>
      <c r="L30" s="3"/>
    </row>
    <row r="31" spans="1:12" x14ac:dyDescent="0.3">
      <c r="A31" s="3"/>
      <c r="B31" s="154">
        <f>'ULTA Q Rev (Acual)'!B31</f>
        <v>40847</v>
      </c>
      <c r="C31" s="4">
        <f>'ULTA Q Rev (Acual)'!C31</f>
        <v>413067</v>
      </c>
      <c r="D31" s="156">
        <f t="shared" si="0"/>
        <v>389530.38806901331</v>
      </c>
      <c r="E31" s="36"/>
      <c r="F31" s="3"/>
      <c r="G31" s="3"/>
      <c r="H31" s="3"/>
      <c r="I31" s="3"/>
      <c r="J31" s="3"/>
      <c r="K31" s="3"/>
      <c r="L31" s="3"/>
    </row>
    <row r="32" spans="1:12" x14ac:dyDescent="0.3">
      <c r="A32" s="3"/>
      <c r="B32" s="154">
        <f>'ULTA Q Rev (Acual)'!B32</f>
        <v>40939</v>
      </c>
      <c r="C32" s="4">
        <f>'ULTA Q Rev (Acual)'!C32</f>
        <v>582511</v>
      </c>
      <c r="D32" s="156">
        <f t="shared" si="0"/>
        <v>398836.01161519735</v>
      </c>
      <c r="E32" s="36"/>
      <c r="F32" s="3"/>
      <c r="G32" s="3"/>
      <c r="H32" s="3"/>
      <c r="I32" s="3"/>
      <c r="J32" s="3"/>
      <c r="K32" s="3"/>
      <c r="L32" s="3"/>
    </row>
    <row r="33" spans="1:12" x14ac:dyDescent="0.3">
      <c r="A33" s="3"/>
      <c r="B33" s="154">
        <f>'ULTA Q Rev (Acual)'!B33</f>
        <v>41029</v>
      </c>
      <c r="C33" s="4">
        <f>'ULTA Q Rev (Acual)'!C33</f>
        <v>474098</v>
      </c>
      <c r="D33" s="156">
        <f t="shared" si="0"/>
        <v>471455.22723426734</v>
      </c>
      <c r="E33" s="36"/>
      <c r="F33" s="3"/>
      <c r="G33" s="3"/>
      <c r="H33" s="3"/>
      <c r="I33" s="3"/>
      <c r="J33" s="3"/>
      <c r="K33" s="3"/>
      <c r="L33" s="3"/>
    </row>
    <row r="34" spans="1:12" x14ac:dyDescent="0.3">
      <c r="A34" s="3"/>
      <c r="B34" s="154">
        <f>'ULTA Q Rev (Acual)'!B34</f>
        <v>41121</v>
      </c>
      <c r="C34" s="4">
        <f>'ULTA Q Rev (Acual)'!C34</f>
        <v>481683</v>
      </c>
      <c r="D34" s="156">
        <f t="shared" si="0"/>
        <v>472500.09505756007</v>
      </c>
      <c r="E34" s="36"/>
      <c r="F34" s="3"/>
      <c r="G34" s="3"/>
      <c r="H34" s="3"/>
      <c r="I34" s="3"/>
      <c r="J34" s="3"/>
      <c r="K34" s="3"/>
      <c r="L34" s="3"/>
    </row>
    <row r="35" spans="1:12" x14ac:dyDescent="0.3">
      <c r="A35" s="3"/>
      <c r="B35" s="154">
        <f>'ULTA Q Rev (Acual)'!B35</f>
        <v>41213</v>
      </c>
      <c r="C35" s="4">
        <f>'ULTA Q Rev (Acual)'!C35</f>
        <v>505640</v>
      </c>
      <c r="D35" s="156">
        <f t="shared" si="0"/>
        <v>476130.72195939708</v>
      </c>
      <c r="E35" s="36"/>
      <c r="F35" s="3"/>
      <c r="G35" s="3"/>
      <c r="H35" s="3"/>
      <c r="I35" s="3"/>
      <c r="J35" s="3"/>
      <c r="K35" s="3"/>
      <c r="L35" s="3"/>
    </row>
    <row r="36" spans="1:12" x14ac:dyDescent="0.3">
      <c r="A36" s="3"/>
      <c r="B36" s="154">
        <f>'ULTA Q Rev (Acual)'!B36</f>
        <v>41365</v>
      </c>
      <c r="C36" s="4">
        <f>'ULTA Q Rev (Acual)'!C36</f>
        <v>758835</v>
      </c>
      <c r="D36" s="156">
        <f t="shared" si="0"/>
        <v>487797.74665142607</v>
      </c>
      <c r="E36" s="36"/>
      <c r="F36" s="3"/>
      <c r="G36" s="3"/>
      <c r="H36" s="3"/>
      <c r="I36" s="3"/>
      <c r="J36" s="3"/>
      <c r="K36" s="3"/>
      <c r="L36" s="3"/>
    </row>
    <row r="37" spans="1:12" x14ac:dyDescent="0.3">
      <c r="A37" s="3"/>
      <c r="B37" s="154">
        <f>'ULTA Q Rev (Acual)'!B37</f>
        <v>41435</v>
      </c>
      <c r="C37" s="4">
        <f>'ULTA Q Rev (Acual)'!C37</f>
        <v>582712</v>
      </c>
      <c r="D37" s="156">
        <f t="shared" si="0"/>
        <v>594957.20758186781</v>
      </c>
      <c r="E37" s="36"/>
      <c r="F37" s="3"/>
      <c r="G37" s="3"/>
      <c r="H37" s="3"/>
      <c r="I37" s="3"/>
      <c r="J37" s="3"/>
      <c r="K37" s="3"/>
      <c r="L37" s="3"/>
    </row>
    <row r="38" spans="1:12" x14ac:dyDescent="0.3">
      <c r="A38" s="3"/>
      <c r="B38" s="154">
        <f>'ULTA Q Rev (Acual)'!B38</f>
        <v>41528</v>
      </c>
      <c r="C38" s="4">
        <f>'ULTA Q Rev (Acual)'!C38</f>
        <v>600998</v>
      </c>
      <c r="D38" s="156">
        <f t="shared" si="0"/>
        <v>590115.84416321351</v>
      </c>
      <c r="E38" s="36"/>
      <c r="F38" s="3"/>
      <c r="G38" s="3"/>
      <c r="H38" s="3"/>
      <c r="I38" s="3"/>
      <c r="J38" s="3"/>
      <c r="K38" s="3"/>
      <c r="L38" s="3"/>
    </row>
    <row r="39" spans="1:12" x14ac:dyDescent="0.3">
      <c r="A39" s="3"/>
      <c r="B39" s="154">
        <f>'ULTA Q Rev (Acual)'!B39</f>
        <v>41612</v>
      </c>
      <c r="C39" s="4">
        <f>'ULTA Q Rev (Acual)'!C39</f>
        <v>618781</v>
      </c>
      <c r="D39" s="156">
        <f t="shared" si="0"/>
        <v>594418.30051865545</v>
      </c>
      <c r="E39" s="36"/>
      <c r="F39" s="3"/>
      <c r="G39" s="3"/>
      <c r="H39" s="3"/>
      <c r="I39" s="3"/>
      <c r="J39" s="3"/>
      <c r="K39" s="3"/>
      <c r="L39" s="3"/>
    </row>
    <row r="40" spans="1:12" x14ac:dyDescent="0.3">
      <c r="A40" s="3"/>
      <c r="B40" s="154">
        <f>'ULTA Q Rev (Acual)'!B40</f>
        <v>41728</v>
      </c>
      <c r="C40" s="4">
        <f>'ULTA Q Rev (Acual)'!C40</f>
        <v>868082</v>
      </c>
      <c r="D40" s="156">
        <f t="shared" si="0"/>
        <v>604050.53266009351</v>
      </c>
      <c r="E40" s="36"/>
      <c r="F40" s="3"/>
      <c r="G40" s="3"/>
      <c r="H40" s="3"/>
      <c r="I40" s="3"/>
      <c r="J40" s="3"/>
      <c r="K40" s="3"/>
      <c r="L40" s="3"/>
    </row>
    <row r="41" spans="1:12" ht="15" x14ac:dyDescent="0.3">
      <c r="A41" s="107"/>
      <c r="B41" s="154">
        <f>'ULTA Q Rev (Acual)'!B41</f>
        <v>41794</v>
      </c>
      <c r="C41" s="4">
        <f>'ULTA Q Rev (Acual)'!C41</f>
        <v>713770</v>
      </c>
      <c r="D41" s="156">
        <f t="shared" si="0"/>
        <v>708440.12988062913</v>
      </c>
      <c r="E41" s="36"/>
      <c r="F41" s="3"/>
      <c r="G41" s="3"/>
      <c r="H41" s="3"/>
      <c r="I41" s="3"/>
      <c r="J41" s="3"/>
      <c r="K41" s="3"/>
      <c r="L41" s="3"/>
    </row>
    <row r="42" spans="1:12" x14ac:dyDescent="0.3">
      <c r="A42" s="3"/>
      <c r="B42" s="154">
        <f>'ULTA Q Rev (Acual)'!B42</f>
        <v>41823</v>
      </c>
      <c r="C42" s="4">
        <f>'ULTA Q Rev (Acual)'!C42</f>
        <v>734236</v>
      </c>
      <c r="D42" s="156">
        <f t="shared" si="0"/>
        <v>710547.39005156409</v>
      </c>
      <c r="E42" s="3"/>
      <c r="F42" s="3"/>
      <c r="G42" s="3"/>
      <c r="H42" s="3"/>
      <c r="I42" s="3"/>
      <c r="J42" s="3"/>
      <c r="K42" s="3"/>
      <c r="L42" s="3"/>
    </row>
    <row r="43" spans="1:12" x14ac:dyDescent="0.3">
      <c r="A43" s="3"/>
      <c r="B43" s="154">
        <f>'ULTA Q Rev (Acual)'!B43</f>
        <v>41976</v>
      </c>
      <c r="C43" s="4">
        <f>'ULTA Q Rev (Acual)'!C43</f>
        <v>745722</v>
      </c>
      <c r="D43" s="156">
        <f t="shared" si="0"/>
        <v>719913.10875223752</v>
      </c>
      <c r="E43" s="3"/>
      <c r="F43" s="3"/>
      <c r="G43" s="3"/>
      <c r="H43" s="3"/>
      <c r="I43" s="3"/>
      <c r="J43" s="3"/>
      <c r="K43" s="3"/>
      <c r="L43" s="3"/>
    </row>
    <row r="44" spans="1:12" x14ac:dyDescent="0.3">
      <c r="B44" s="154">
        <f>'ULTA Q Rev (Acual)'!B44</f>
        <v>42091</v>
      </c>
      <c r="C44" s="4">
        <f>'ULTA Q Rev (Acual)'!C44</f>
        <v>1047641</v>
      </c>
      <c r="D44" s="156">
        <f t="shared" si="0"/>
        <v>730117.11886211624</v>
      </c>
    </row>
    <row r="45" spans="1:12" x14ac:dyDescent="0.3">
      <c r="B45" s="154">
        <f>'ULTA Q Rev (Acual)'!B45</f>
        <v>42157</v>
      </c>
      <c r="C45" s="4">
        <f>'ULTA Q Rev (Acual)'!C45</f>
        <v>868122</v>
      </c>
      <c r="D45" s="156">
        <f t="shared" si="0"/>
        <v>855655.90555989067</v>
      </c>
    </row>
    <row r="46" spans="1:12" x14ac:dyDescent="0.3">
      <c r="B46" s="154">
        <f>'ULTA Q Rev (Acual)'!B46</f>
        <v>42241</v>
      </c>
      <c r="C46" s="4">
        <f>'ULTA Q Rev (Acual)'!C46</f>
        <v>876999</v>
      </c>
      <c r="D46" s="156">
        <f t="shared" si="0"/>
        <v>860584.60057729506</v>
      </c>
    </row>
    <row r="47" spans="1:12" x14ac:dyDescent="0.3">
      <c r="B47" s="154">
        <f>'ULTA Q Rev (Acual)'!B47</f>
        <v>42339</v>
      </c>
      <c r="C47" s="4">
        <f>'ULTA Q Rev (Acual)'!C47</f>
        <v>910700</v>
      </c>
      <c r="D47" s="156">
        <f t="shared" si="0"/>
        <v>867074.32909949147</v>
      </c>
    </row>
    <row r="48" spans="1:12" x14ac:dyDescent="0.3">
      <c r="B48" s="154">
        <f>'ULTA Q Rev (Acual)'!B48</f>
        <v>42463</v>
      </c>
      <c r="C48" s="4">
        <f>'ULTA Q Rev (Acual)'!C48</f>
        <v>1268295</v>
      </c>
      <c r="D48" s="156">
        <f t="shared" si="0"/>
        <v>884322.52401982248</v>
      </c>
    </row>
    <row r="49" spans="2:4" x14ac:dyDescent="0.3">
      <c r="B49" s="154">
        <f>'ULTA Q Rev (Acual)'!B49</f>
        <v>42522</v>
      </c>
      <c r="C49" s="4">
        <f>'ULTA Q Rev (Acual)'!C49</f>
        <v>1073716</v>
      </c>
      <c r="D49" s="156">
        <f t="shared" si="0"/>
        <v>1036132.9597802736</v>
      </c>
    </row>
    <row r="50" spans="2:4" x14ac:dyDescent="0.3">
      <c r="B50" s="154">
        <f>'ULTA Q Rev (Acual)'!B50</f>
        <v>42613</v>
      </c>
      <c r="C50" s="4">
        <f>'ULTA Q Rev (Acual)'!C50</f>
        <v>1069215</v>
      </c>
      <c r="D50" s="156">
        <f t="shared" si="0"/>
        <v>1050992.091801116</v>
      </c>
    </row>
    <row r="51" spans="2:4" x14ac:dyDescent="0.3">
      <c r="B51" s="154">
        <f>'ULTA Q Rev (Acual)'!B51</f>
        <v>42704</v>
      </c>
      <c r="C51" s="4">
        <f>'ULTA Q Rev (Acual)'!C51</f>
        <v>1131232</v>
      </c>
      <c r="D51" s="156">
        <f t="shared" si="0"/>
        <v>1058196.846848814</v>
      </c>
    </row>
    <row r="52" spans="2:4" x14ac:dyDescent="0.3">
      <c r="B52" s="154">
        <f>'ULTA Q Rev (Acual)'!B52</f>
        <v>42827</v>
      </c>
      <c r="C52" s="4">
        <f>'ULTA Q Rev (Acual)'!C52</f>
        <v>1580574</v>
      </c>
      <c r="D52" s="156">
        <f t="shared" si="0"/>
        <v>1087072.6103977754</v>
      </c>
    </row>
    <row r="53" spans="2:4" x14ac:dyDescent="0.3">
      <c r="B53" s="154">
        <f>'ULTA Q Rev (Acual)'!B53</f>
        <v>42887</v>
      </c>
      <c r="C53" s="4">
        <f>'ULTA Q Rev (Acual)'!C53</f>
        <v>1314879</v>
      </c>
      <c r="D53" s="156">
        <f t="shared" si="0"/>
        <v>1282187.2753556082</v>
      </c>
    </row>
    <row r="54" spans="2:4" x14ac:dyDescent="0.3">
      <c r="B54" s="154">
        <f>'ULTA Q Rev (Acual)'!B54</f>
        <v>42977</v>
      </c>
      <c r="C54" s="4">
        <f>'ULTA Q Rev (Acual)'!C54</f>
        <v>1289854</v>
      </c>
      <c r="D54" s="156">
        <f t="shared" si="0"/>
        <v>1295112.5376451949</v>
      </c>
    </row>
    <row r="55" spans="2:4" x14ac:dyDescent="0.3">
      <c r="B55" s="154">
        <f>'ULTA Q Rev (Acual)'!B55</f>
        <v>43075</v>
      </c>
      <c r="C55" s="4">
        <f>'ULTA Q Rev (Acual)'!C55</f>
        <v>1342181</v>
      </c>
      <c r="D55" s="156">
        <f t="shared" si="0"/>
        <v>1293033.4800530018</v>
      </c>
    </row>
    <row r="56" spans="2:4" x14ac:dyDescent="0.3">
      <c r="B56" s="154">
        <f>'ULTA Q Rev (Acual)'!B56</f>
        <v>43186</v>
      </c>
      <c r="C56" s="4">
        <f>'ULTA Q Rev (Acual)'!C56</f>
        <v>1937592</v>
      </c>
      <c r="D56" s="156">
        <f t="shared" si="0"/>
        <v>1312464.8374716633</v>
      </c>
    </row>
    <row r="57" spans="2:4" x14ac:dyDescent="0.3">
      <c r="B57" s="154">
        <f>'ULTA Q Rev (Acual)'!B57</f>
        <v>43250</v>
      </c>
      <c r="C57" s="4">
        <f>'ULTA Q Rev (Acual)'!C57</f>
        <v>1543667</v>
      </c>
      <c r="D57" s="156">
        <f t="shared" si="0"/>
        <v>1559620.1230344241</v>
      </c>
    </row>
    <row r="58" spans="2:4" x14ac:dyDescent="0.3">
      <c r="B58" s="154">
        <f>'ULTA Q Rev (Acual)'!B58</f>
        <v>43341</v>
      </c>
      <c r="C58" s="4">
        <f>'ULTA Q Rev (Acual)'!C58</f>
        <v>1488221</v>
      </c>
      <c r="D58" s="156">
        <f t="shared" si="0"/>
        <v>1553312.7684423698</v>
      </c>
    </row>
    <row r="59" spans="2:4" x14ac:dyDescent="0.3">
      <c r="B59" s="154">
        <f>'ULTA Q Rev (Acual)'!B59</f>
        <v>43439</v>
      </c>
      <c r="C59" s="4">
        <f>'ULTA Q Rev (Acual)'!C59</f>
        <v>1560011</v>
      </c>
      <c r="D59" s="156">
        <f t="shared" si="0"/>
        <v>1527577.5651405458</v>
      </c>
    </row>
    <row r="60" spans="2:4" x14ac:dyDescent="0.3">
      <c r="B60" s="154">
        <f>'ULTA Q Rev (Acual)'!B60</f>
        <v>43550</v>
      </c>
      <c r="C60" s="4">
        <f>'ULTA Q Rev (Acual)'!C60</f>
        <v>2124716</v>
      </c>
      <c r="D60" s="156">
        <f t="shared" si="0"/>
        <v>1540400.7079104879</v>
      </c>
    </row>
    <row r="61" spans="2:4" x14ac:dyDescent="0.3">
      <c r="B61" s="154">
        <f>'ULTA Q Rev (Acual)'!B61</f>
        <v>43613</v>
      </c>
      <c r="C61" s="4">
        <f>'ULTA Q Rev (Acual)'!C61</f>
        <v>1743029</v>
      </c>
      <c r="D61" s="156">
        <f t="shared" si="0"/>
        <v>1771420.2852569211</v>
      </c>
    </row>
    <row r="62" spans="2:4" x14ac:dyDescent="0.3">
      <c r="B62" s="154">
        <f>'ULTA Q Rev (Acual)'!B62</f>
        <v>43704</v>
      </c>
      <c r="C62" s="4">
        <f>'ULTA Q Rev (Acual)'!C62</f>
        <v>1666607</v>
      </c>
      <c r="D62" s="156">
        <f t="shared" si="0"/>
        <v>1760195.279152903</v>
      </c>
    </row>
    <row r="63" spans="2:4" x14ac:dyDescent="0.3">
      <c r="B63" s="154">
        <f>'ULTA Q Rev (Acual)'!B63</f>
        <v>43802</v>
      </c>
      <c r="C63" s="4">
        <f>'ULTA Q Rev (Acual)'!C63</f>
        <v>1682514</v>
      </c>
      <c r="D63" s="156">
        <f t="shared" si="0"/>
        <v>1723193.4669683068</v>
      </c>
    </row>
    <row r="64" spans="2:4" x14ac:dyDescent="0.3">
      <c r="B64" s="154">
        <f>'ULTA Q Rev (Acual)'!B64</f>
        <v>43915</v>
      </c>
      <c r="C64" s="4">
        <f>'ULTA Q Rev (Acual)'!C64</f>
        <v>2305918</v>
      </c>
      <c r="D64" s="156">
        <f t="shared" si="0"/>
        <v>1707110.1068493375</v>
      </c>
    </row>
    <row r="65" spans="2:4" x14ac:dyDescent="0.3">
      <c r="B65" s="154">
        <f>'ULTA Q Rev (Acual)'!B65</f>
        <v>43978</v>
      </c>
      <c r="C65" s="4">
        <f>'ULTA Q Rev (Acual)'!C65</f>
        <v>1173210</v>
      </c>
      <c r="D65" s="156">
        <f t="shared" si="0"/>
        <v>1943859.5951139408</v>
      </c>
    </row>
    <row r="66" spans="2:4" x14ac:dyDescent="0.3">
      <c r="B66" s="154">
        <f>'ULTA Q Rev (Acual)'!B66</f>
        <v>44068</v>
      </c>
      <c r="C66" s="4">
        <f>'ULTA Q Rev (Acual)'!C66</f>
        <v>1228009</v>
      </c>
      <c r="D66" s="156">
        <f t="shared" si="0"/>
        <v>1639169.394197294</v>
      </c>
    </row>
    <row r="67" spans="2:4" x14ac:dyDescent="0.3">
      <c r="B67" s="154">
        <f>'ULTA Q Rev (Acual)'!B67</f>
        <v>44167</v>
      </c>
      <c r="C67" s="4">
        <f>'ULTA Q Rev (Acual)'!C67</f>
        <v>1552033</v>
      </c>
      <c r="D67" s="156">
        <f t="shared" si="0"/>
        <v>1476609.725171037</v>
      </c>
    </row>
    <row r="68" spans="2:4" x14ac:dyDescent="0.3">
      <c r="B68" s="154">
        <f>'ULTA Q Rev (Acual)'!B68</f>
        <v>44279</v>
      </c>
      <c r="C68" s="4">
        <f>'ULTA Q Rev (Acual)'!C68</f>
        <v>2198701</v>
      </c>
      <c r="D68" s="156">
        <f t="shared" si="0"/>
        <v>1506429.6756480504</v>
      </c>
    </row>
    <row r="69" spans="2:4" x14ac:dyDescent="0.3">
      <c r="B69" s="154">
        <f>'ULTA Q Rev (Acual)'!B69</f>
        <v>44342</v>
      </c>
      <c r="C69" s="4">
        <f>'ULTA Q Rev (Acual)'!C69</f>
        <v>1938519</v>
      </c>
      <c r="D69" s="156">
        <f t="shared" si="0"/>
        <v>1780131.6152104046</v>
      </c>
    </row>
    <row r="70" spans="2:4" x14ac:dyDescent="0.3">
      <c r="B70" s="154">
        <f>'ULTA Q Rev (Acual)'!B70</f>
        <v>44433</v>
      </c>
      <c r="C70" s="4">
        <f>'ULTA Q Rev (Acual)'!C70</f>
        <v>1967207</v>
      </c>
      <c r="D70" s="156">
        <f t="shared" si="0"/>
        <v>1842752.9211841901</v>
      </c>
    </row>
    <row r="71" spans="2:4" x14ac:dyDescent="0.3">
      <c r="B71" s="154">
        <f>'ULTA Q Rev (Acual)'!B71</f>
        <v>44531</v>
      </c>
      <c r="C71" s="4">
        <f>'ULTA Q Rev (Acual)'!C71</f>
        <v>1995775</v>
      </c>
      <c r="D71" s="156">
        <f t="shared" ref="D71:D87" si="1">D70+$G$5*(C70-D70)</f>
        <v>1891958.0833223455</v>
      </c>
    </row>
    <row r="72" spans="2:4" x14ac:dyDescent="0.3">
      <c r="B72" s="154">
        <f>'ULTA Q Rev (Acual)'!B72</f>
        <v>44646</v>
      </c>
      <c r="C72" s="4">
        <f>'ULTA Q Rev (Acual)'!C72</f>
        <v>2729388</v>
      </c>
      <c r="D72" s="156">
        <f t="shared" si="1"/>
        <v>1933003.9716243884</v>
      </c>
    </row>
    <row r="73" spans="2:4" x14ac:dyDescent="0.3">
      <c r="B73" s="154">
        <f>'ULTA Q Rev (Acual)'!B73</f>
        <v>44706</v>
      </c>
      <c r="C73" s="4">
        <f>'ULTA Q Rev (Acual)'!C73</f>
        <v>2345901</v>
      </c>
      <c r="D73" s="156">
        <f t="shared" si="1"/>
        <v>2247868.744344729</v>
      </c>
    </row>
    <row r="74" spans="2:4" x14ac:dyDescent="0.3">
      <c r="B74" s="154">
        <f>'ULTA Q Rev (Acual)'!B74</f>
        <v>44797</v>
      </c>
      <c r="C74" s="4">
        <f>'ULTA Q Rev (Acual)'!C74</f>
        <v>2297113</v>
      </c>
      <c r="D74" s="156">
        <f t="shared" si="1"/>
        <v>2286627.5626991335</v>
      </c>
    </row>
    <row r="75" spans="2:4" x14ac:dyDescent="0.3">
      <c r="B75" s="154">
        <f>'ULTA Q Rev (Acual)'!B75</f>
        <v>44895</v>
      </c>
      <c r="C75" s="4">
        <f>'ULTA Q Rev (Acual)'!C75</f>
        <v>2338793</v>
      </c>
      <c r="D75" s="156">
        <f t="shared" si="1"/>
        <v>2290773.1692343936</v>
      </c>
    </row>
    <row r="76" spans="2:4" x14ac:dyDescent="0.3">
      <c r="B76" s="154">
        <f>'ULTA Q Rev (Acual)'!B76</f>
        <v>45012</v>
      </c>
      <c r="C76" s="4">
        <f>'ULTA Q Rev (Acual)'!C76</f>
        <v>3226773</v>
      </c>
      <c r="D76" s="156">
        <f t="shared" si="1"/>
        <v>2309758.674419526</v>
      </c>
    </row>
    <row r="77" spans="2:4" x14ac:dyDescent="0.3">
      <c r="B77" s="154">
        <f>'ULTA Q Rev (Acual)'!B77</f>
        <v>45076</v>
      </c>
      <c r="C77" s="4">
        <f>'ULTA Q Rev (Acual)'!C77</f>
        <v>2634263</v>
      </c>
      <c r="D77" s="156">
        <f t="shared" si="1"/>
        <v>2672316.808331538</v>
      </c>
    </row>
    <row r="78" spans="2:4" x14ac:dyDescent="0.3">
      <c r="B78" s="154">
        <f>'ULTA Q Rev (Acual)'!B78</f>
        <v>45167</v>
      </c>
      <c r="C78" s="4">
        <f>'ULTA Q Rev (Acual)'!C78</f>
        <v>2529809</v>
      </c>
      <c r="D78" s="156">
        <f t="shared" si="1"/>
        <v>2657271.5496566594</v>
      </c>
    </row>
    <row r="79" spans="2:4" x14ac:dyDescent="0.3">
      <c r="B79" s="154">
        <f>'ULTA Q Rev (Acual)'!B79</f>
        <v>45265</v>
      </c>
      <c r="C79" s="4">
        <f>'ULTA Q Rev (Acual)'!C79</f>
        <v>2488933</v>
      </c>
      <c r="D79" s="156">
        <f t="shared" si="1"/>
        <v>2606876.9343730509</v>
      </c>
    </row>
    <row r="80" spans="2:4" x14ac:dyDescent="0.3">
      <c r="B80" s="154">
        <f>'ULTA Q Rev (Acual)'!B80</f>
        <v>45378</v>
      </c>
      <c r="C80" s="4">
        <f>'ULTA Q Rev (Acual)'!C80</f>
        <v>3554298</v>
      </c>
      <c r="D80" s="156">
        <f t="shared" si="1"/>
        <v>2560245.6751225851</v>
      </c>
    </row>
    <row r="81" spans="1:4" x14ac:dyDescent="0.3">
      <c r="B81" s="154">
        <f>'ULTA Q Rev (Acual)'!B81</f>
        <v>45441</v>
      </c>
      <c r="C81" s="4">
        <f>'ULTA Q Rev (Acual)'!C81</f>
        <v>2725848</v>
      </c>
      <c r="D81" s="156">
        <f t="shared" si="1"/>
        <v>2953262.1699197809</v>
      </c>
    </row>
    <row r="82" spans="1:4" x14ac:dyDescent="0.3">
      <c r="B82" s="154">
        <f>'ULTA Q Rev (Acual)'!B82</f>
        <v>45532</v>
      </c>
      <c r="C82" s="4">
        <f>'ULTA Q Rev (Acual)'!C82</f>
        <v>2552087</v>
      </c>
      <c r="D82" s="156">
        <f t="shared" si="1"/>
        <v>2863349.8809061134</v>
      </c>
    </row>
    <row r="83" spans="1:4" x14ac:dyDescent="0.3">
      <c r="B83" s="154">
        <f>'ULTA Q Rev (Acual)'!B83</f>
        <v>45631</v>
      </c>
      <c r="C83" s="4">
        <f>'ULTA Q Rev (Acual)'!C83</f>
        <v>2530100</v>
      </c>
      <c r="D83" s="156">
        <f t="shared" si="1"/>
        <v>2740286.4934438053</v>
      </c>
    </row>
    <row r="84" spans="1:4" x14ac:dyDescent="0.3">
      <c r="B84" s="154">
        <f>'ULTA Q Rev (Acual)'!B84</f>
        <v>45743</v>
      </c>
      <c r="C84" s="4">
        <f>'ULTA Q Rev (Acual)'!C84</f>
        <v>3487619</v>
      </c>
      <c r="D84" s="156">
        <f t="shared" si="1"/>
        <v>2657185.4766867799</v>
      </c>
    </row>
    <row r="85" spans="1:4" x14ac:dyDescent="0.3">
      <c r="B85" s="154">
        <f>'ULTA Q Rev (Acual)'!B85</f>
        <v>45806</v>
      </c>
      <c r="C85" s="4">
        <f>'ULTA Q Rev (Acual)'!C85</f>
        <v>2848367</v>
      </c>
      <c r="D85" s="156">
        <f t="shared" si="1"/>
        <v>2985512.330642778</v>
      </c>
    </row>
    <row r="86" spans="1:4" x14ac:dyDescent="0.3">
      <c r="B86" s="154">
        <f>'ULTA Q Rev (Acual)'!B86</f>
        <v>45897</v>
      </c>
      <c r="C86" s="4">
        <f>'ULTA Q Rev (Acual)'!C86</f>
        <v>2788469</v>
      </c>
      <c r="D86" s="156">
        <f t="shared" si="1"/>
        <v>2931289.4534580442</v>
      </c>
    </row>
    <row r="87" spans="1:4" x14ac:dyDescent="0.3">
      <c r="B87" s="154">
        <f>'ULTA Q Rev (Acual)'!B87</f>
        <v>45995</v>
      </c>
      <c r="C87" s="4">
        <f>'ULTA Q Rev (Acual)'!C87</f>
        <v>2857623</v>
      </c>
      <c r="D87" s="156">
        <f t="shared" si="1"/>
        <v>2874822.8142292202</v>
      </c>
    </row>
    <row r="88" spans="1:4" ht="15" x14ac:dyDescent="0.3">
      <c r="A88" s="107" t="s">
        <v>8</v>
      </c>
      <c r="B88" s="166">
        <v>46108</v>
      </c>
      <c r="C88" s="167"/>
      <c r="D88" s="168">
        <f>D87+$G$5*(C87-D87)</f>
        <v>2868022.5578137799</v>
      </c>
    </row>
    <row r="89" spans="1:4" x14ac:dyDescent="0.3">
      <c r="B89" s="3" t="s">
        <v>208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3B58-CFD1-4D0A-AF5B-E00F9E7955D4}">
  <dimension ref="A2:M101"/>
  <sheetViews>
    <sheetView zoomScale="49" workbookViewId="0">
      <selection activeCell="G8" sqref="G8"/>
    </sheetView>
  </sheetViews>
  <sheetFormatPr defaultRowHeight="14" x14ac:dyDescent="0.3"/>
  <cols>
    <col min="1" max="1" width="10.36328125" customWidth="1"/>
    <col min="2" max="2" width="12.90625" customWidth="1"/>
    <col min="3" max="3" width="23.1796875" customWidth="1"/>
    <col min="4" max="4" width="19.90625" customWidth="1"/>
    <col min="5" max="5" width="16.6328125" customWidth="1"/>
    <col min="6" max="6" width="17.36328125" customWidth="1"/>
    <col min="7" max="7" width="29.54296875" customWidth="1"/>
  </cols>
  <sheetData>
    <row r="2" spans="1:13" ht="25" x14ac:dyDescent="0.3">
      <c r="B2" s="111" t="s">
        <v>215</v>
      </c>
    </row>
    <row r="3" spans="1:13" ht="17.5" x14ac:dyDescent="0.3">
      <c r="B3" s="24"/>
    </row>
    <row r="4" spans="1:13" ht="15" x14ac:dyDescent="0.3">
      <c r="B4" s="30" t="s">
        <v>110</v>
      </c>
      <c r="C4" s="27"/>
      <c r="D4" s="16"/>
    </row>
    <row r="5" spans="1:13" x14ac:dyDescent="0.3">
      <c r="B5" t="s">
        <v>5</v>
      </c>
      <c r="D5" s="172">
        <v>0.30872116156667267</v>
      </c>
      <c r="E5" s="122"/>
    </row>
    <row r="6" spans="1:13" x14ac:dyDescent="0.3">
      <c r="B6" t="s">
        <v>9</v>
      </c>
      <c r="D6" s="172">
        <v>4.51042741585174E-2</v>
      </c>
      <c r="E6" s="122"/>
    </row>
    <row r="7" spans="1:13" x14ac:dyDescent="0.3">
      <c r="B7" s="6" t="s">
        <v>101</v>
      </c>
      <c r="D7" s="173">
        <f>SUMXMY2(C13:C94,F13:F94)/COUNT(C13:C94)</f>
        <v>71741476358.816711</v>
      </c>
      <c r="E7" s="47"/>
    </row>
    <row r="8" spans="1:13" x14ac:dyDescent="0.3">
      <c r="B8" s="6" t="s">
        <v>102</v>
      </c>
      <c r="D8" s="174" cm="1">
        <f t="array" ref="D8">AVERAGE(ABS(C13:C94-F13:F94)/C13:C94)</f>
        <v>0.10643902162904051</v>
      </c>
      <c r="E8" s="47"/>
    </row>
    <row r="9" spans="1:13" x14ac:dyDescent="0.3">
      <c r="B9" s="6"/>
      <c r="E9" s="51"/>
    </row>
    <row r="10" spans="1:13" ht="15" x14ac:dyDescent="0.3">
      <c r="B10" s="30" t="s">
        <v>109</v>
      </c>
      <c r="C10" s="16"/>
      <c r="D10" s="16"/>
      <c r="E10" s="49"/>
      <c r="F10" s="16"/>
    </row>
    <row r="11" spans="1:13" x14ac:dyDescent="0.3">
      <c r="A11" s="118"/>
      <c r="B11" s="20" t="s">
        <v>0</v>
      </c>
      <c r="C11" s="20" t="s">
        <v>1</v>
      </c>
      <c r="D11" s="20" t="s">
        <v>121</v>
      </c>
      <c r="E11" s="20" t="s">
        <v>7</v>
      </c>
      <c r="F11" s="20" t="s">
        <v>8</v>
      </c>
      <c r="G11" s="119"/>
      <c r="H11" s="119"/>
      <c r="I11" s="118"/>
      <c r="J11" s="118"/>
      <c r="K11" s="118"/>
      <c r="L11" s="118"/>
      <c r="M11" s="118"/>
    </row>
    <row r="12" spans="1:13" x14ac:dyDescent="0.3">
      <c r="A12" s="6" t="s">
        <v>97</v>
      </c>
      <c r="B12" s="171">
        <f>'ULTA Q Rev (Acual)'!B5</f>
        <v>38472</v>
      </c>
      <c r="C12" s="2">
        <f>'ULTA Q Rev (Acual)'!C5</f>
        <v>144769</v>
      </c>
      <c r="D12" s="151">
        <f>C12</f>
        <v>144769</v>
      </c>
      <c r="E12" s="151"/>
      <c r="F12" s="151"/>
      <c r="G12" s="50"/>
      <c r="H12" s="50"/>
      <c r="I12" s="50"/>
    </row>
    <row r="13" spans="1:13" x14ac:dyDescent="0.3">
      <c r="A13" s="3"/>
      <c r="B13" s="171">
        <f>'ULTA Q Rev (Acual)'!B6</f>
        <v>38564</v>
      </c>
      <c r="C13" s="2">
        <f>'ULTA Q Rev (Acual)'!C6</f>
        <v>144769</v>
      </c>
      <c r="D13" s="151">
        <f>$D$5*C13+(1-$D$5)*(D12+E12)</f>
        <v>144769</v>
      </c>
      <c r="E13" s="151">
        <f>$D$6*(D13-D12)+(1-$D$6)*E12</f>
        <v>0</v>
      </c>
      <c r="F13" s="151">
        <f>SUM(D12:E12)</f>
        <v>144769</v>
      </c>
      <c r="G13" s="50"/>
      <c r="H13" s="50"/>
      <c r="I13" s="50"/>
    </row>
    <row r="14" spans="1:13" x14ac:dyDescent="0.3">
      <c r="A14" s="3"/>
      <c r="B14" s="171">
        <f>'ULTA Q Rev (Acual)'!B7</f>
        <v>38656</v>
      </c>
      <c r="C14" s="2">
        <f>'ULTA Q Rev (Acual)'!C7</f>
        <v>144769</v>
      </c>
      <c r="D14" s="151">
        <f t="shared" ref="D14:D77" si="0">$D$5*C14+(1-$D$5)*(D13+E13)</f>
        <v>144769</v>
      </c>
      <c r="E14" s="151">
        <f t="shared" ref="E14:E77" si="1">$D$6*(D14-D13)+(1-$D$6)*E13</f>
        <v>0</v>
      </c>
      <c r="F14" s="151">
        <f t="shared" ref="F14:F77" si="2">SUM(D13:E13)</f>
        <v>144769</v>
      </c>
      <c r="G14" s="50"/>
      <c r="H14" s="50"/>
      <c r="I14" s="50"/>
    </row>
    <row r="15" spans="1:13" x14ac:dyDescent="0.3">
      <c r="A15" s="3"/>
      <c r="B15" s="171">
        <f>'ULTA Q Rev (Acual)'!B8</f>
        <v>38748</v>
      </c>
      <c r="C15" s="2">
        <f>'ULTA Q Rev (Acual)'!C8</f>
        <v>144768</v>
      </c>
      <c r="D15" s="151">
        <f t="shared" si="0"/>
        <v>144768.69127883844</v>
      </c>
      <c r="E15" s="151">
        <f t="shared" si="1"/>
        <v>-1.3924643909713222E-2</v>
      </c>
      <c r="F15" s="151">
        <f t="shared" si="2"/>
        <v>144769</v>
      </c>
      <c r="G15" s="50"/>
      <c r="H15" s="50"/>
      <c r="I15" s="50"/>
    </row>
    <row r="16" spans="1:13" x14ac:dyDescent="0.3">
      <c r="A16" s="3"/>
      <c r="B16" s="171">
        <f>'ULTA Q Rev (Acual)'!B9</f>
        <v>38837</v>
      </c>
      <c r="C16" s="2">
        <f>'ULTA Q Rev (Acual)'!C9</f>
        <v>159468</v>
      </c>
      <c r="D16" s="151">
        <f t="shared" si="0"/>
        <v>149306.66931565088</v>
      </c>
      <c r="E16" s="151">
        <f t="shared" si="1"/>
        <v>204.66890891476601</v>
      </c>
      <c r="F16" s="151">
        <f t="shared" si="2"/>
        <v>144768.67735419451</v>
      </c>
      <c r="G16" s="50"/>
      <c r="H16" s="50"/>
      <c r="I16" s="50"/>
    </row>
    <row r="17" spans="1:9" x14ac:dyDescent="0.3">
      <c r="A17" s="3"/>
      <c r="B17" s="171">
        <f>'ULTA Q Rev (Acual)'!B10</f>
        <v>38929</v>
      </c>
      <c r="C17" s="2">
        <f>'ULTA Q Rev (Acual)'!C10</f>
        <v>162558</v>
      </c>
      <c r="D17" s="151">
        <f t="shared" si="0"/>
        <v>153539.11880244524</v>
      </c>
      <c r="E17" s="151">
        <f t="shared" si="1"/>
        <v>386.33902834979875</v>
      </c>
      <c r="F17" s="151">
        <f t="shared" si="2"/>
        <v>149511.33822456564</v>
      </c>
      <c r="G17" s="46"/>
      <c r="H17" s="46"/>
      <c r="I17" s="46"/>
    </row>
    <row r="18" spans="1:9" x14ac:dyDescent="0.3">
      <c r="A18" s="3"/>
      <c r="B18" s="171">
        <f>'ULTA Q Rev (Acual)'!B11</f>
        <v>39021</v>
      </c>
      <c r="C18" s="2">
        <f>'ULTA Q Rev (Acual)'!C11</f>
        <v>216544</v>
      </c>
      <c r="D18" s="151">
        <f t="shared" si="0"/>
        <v>173257.12690488365</v>
      </c>
      <c r="E18" s="151">
        <f t="shared" si="1"/>
        <v>1258.2799302092239</v>
      </c>
      <c r="F18" s="151">
        <f t="shared" si="2"/>
        <v>153925.45783079503</v>
      </c>
      <c r="G18" s="46"/>
      <c r="H18" s="46"/>
      <c r="I18" s="46"/>
    </row>
    <row r="19" spans="1:9" x14ac:dyDescent="0.3">
      <c r="A19" s="3"/>
      <c r="B19" s="171">
        <f>'ULTA Q Rev (Acual)'!B12</f>
        <v>39113</v>
      </c>
      <c r="C19" s="2">
        <f>'ULTA Q Rev (Acual)'!C12</f>
        <v>216543</v>
      </c>
      <c r="D19" s="151">
        <f t="shared" si="0"/>
        <v>187490.21421481454</v>
      </c>
      <c r="E19" s="151">
        <f t="shared" si="1"/>
        <v>1843.4991994181444</v>
      </c>
      <c r="F19" s="151">
        <f t="shared" si="2"/>
        <v>174515.40683509287</v>
      </c>
      <c r="G19" s="46"/>
      <c r="H19" s="46"/>
      <c r="I19" s="46"/>
    </row>
    <row r="20" spans="1:9" x14ac:dyDescent="0.3">
      <c r="A20" s="3"/>
      <c r="B20" s="171">
        <f>'ULTA Q Rev (Acual)'!B13</f>
        <v>39202</v>
      </c>
      <c r="C20" s="2">
        <f>'ULTA Q Rev (Acual)'!C13</f>
        <v>194113</v>
      </c>
      <c r="D20" s="151">
        <f t="shared" si="0"/>
        <v>190809.18032045077</v>
      </c>
      <c r="E20" s="151">
        <f t="shared" si="1"/>
        <v>1910.0490632680248</v>
      </c>
      <c r="F20" s="151">
        <f t="shared" si="2"/>
        <v>189333.71341423268</v>
      </c>
      <c r="G20" s="46"/>
      <c r="H20" s="46"/>
      <c r="I20" s="46"/>
    </row>
    <row r="21" spans="1:9" x14ac:dyDescent="0.3">
      <c r="A21" s="3"/>
      <c r="B21" s="171">
        <f>'ULTA Q Rev (Acual)'!B14</f>
        <v>39293</v>
      </c>
      <c r="C21" s="2">
        <f>'ULTA Q Rev (Acual)'!C14</f>
        <v>200449</v>
      </c>
      <c r="D21" s="151">
        <f t="shared" si="0"/>
        <v>195105.57314702106</v>
      </c>
      <c r="E21" s="151">
        <f t="shared" si="1"/>
        <v>2017.6833666044781</v>
      </c>
      <c r="F21" s="151">
        <f t="shared" si="2"/>
        <v>192719.2293837188</v>
      </c>
      <c r="G21" s="46"/>
      <c r="H21" s="46"/>
      <c r="I21" s="46"/>
    </row>
    <row r="22" spans="1:9" x14ac:dyDescent="0.3">
      <c r="A22" s="3"/>
      <c r="B22" s="171">
        <f>'ULTA Q Rev (Acual)'!B15</f>
        <v>39386</v>
      </c>
      <c r="C22" s="2">
        <f>'ULTA Q Rev (Acual)'!C15</f>
        <v>208235</v>
      </c>
      <c r="D22" s="151">
        <f t="shared" si="0"/>
        <v>200553.68686976994</v>
      </c>
      <c r="E22" s="151">
        <f t="shared" si="1"/>
        <v>2172.4104378697157</v>
      </c>
      <c r="F22" s="151">
        <f t="shared" si="2"/>
        <v>197123.25651362553</v>
      </c>
      <c r="G22" s="46"/>
      <c r="H22" s="46"/>
      <c r="I22" s="46"/>
    </row>
    <row r="23" spans="1:9" x14ac:dyDescent="0.3">
      <c r="A23" s="3"/>
      <c r="B23" s="171">
        <f>'ULTA Q Rev (Acual)'!B16</f>
        <v>39478</v>
      </c>
      <c r="C23" s="2">
        <f>'ULTA Q Rev (Acual)'!C16</f>
        <v>309344</v>
      </c>
      <c r="D23" s="151">
        <f t="shared" si="0"/>
        <v>235641.30007062759</v>
      </c>
      <c r="E23" s="151">
        <f t="shared" si="1"/>
        <v>3657.0267672747132</v>
      </c>
      <c r="F23" s="151">
        <f t="shared" si="2"/>
        <v>202726.09730763966</v>
      </c>
      <c r="G23" s="46"/>
      <c r="H23" s="46"/>
      <c r="I23" s="46"/>
    </row>
    <row r="24" spans="1:9" x14ac:dyDescent="0.3">
      <c r="A24" s="3"/>
      <c r="B24" s="171">
        <f>'ULTA Q Rev (Acual)'!B17</f>
        <v>39568</v>
      </c>
      <c r="C24" s="2">
        <f>'ULTA Q Rev (Acual)'!C17</f>
        <v>239298</v>
      </c>
      <c r="D24" s="151">
        <f t="shared" si="0"/>
        <v>239298.22593612544</v>
      </c>
      <c r="E24" s="151">
        <f t="shared" si="1"/>
        <v>3657.0222161733068</v>
      </c>
      <c r="F24" s="151">
        <f t="shared" si="2"/>
        <v>239298.32683790231</v>
      </c>
      <c r="G24" s="46"/>
      <c r="H24" s="46"/>
      <c r="I24" s="46"/>
    </row>
    <row r="25" spans="1:9" x14ac:dyDescent="0.3">
      <c r="A25" s="3"/>
      <c r="B25" s="171">
        <f>'ULTA Q Rev (Acual)'!B18</f>
        <v>39660</v>
      </c>
      <c r="C25" s="2">
        <f>'ULTA Q Rev (Acual)'!C18</f>
        <v>249111</v>
      </c>
      <c r="D25" s="151">
        <f t="shared" si="0"/>
        <v>244855.65901303725</v>
      </c>
      <c r="E25" s="151">
        <f t="shared" si="1"/>
        <v>3742.7388686498803</v>
      </c>
      <c r="F25" s="151">
        <f t="shared" si="2"/>
        <v>242955.24815229874</v>
      </c>
      <c r="G25" s="46"/>
      <c r="H25" s="46"/>
      <c r="I25" s="46"/>
    </row>
    <row r="26" spans="1:9" x14ac:dyDescent="0.3">
      <c r="A26" s="3"/>
      <c r="B26" s="171">
        <f>'ULTA Q Rev (Acual)'!B19</f>
        <v>39752</v>
      </c>
      <c r="C26" s="2">
        <f>'ULTA Q Rev (Acual)'!C19</f>
        <v>254843</v>
      </c>
      <c r="D26" s="151">
        <f t="shared" si="0"/>
        <v>250526.23870117436</v>
      </c>
      <c r="E26" s="151">
        <f t="shared" si="1"/>
        <v>3829.6927295060132</v>
      </c>
      <c r="F26" s="151">
        <f t="shared" si="2"/>
        <v>248598.39788168712</v>
      </c>
      <c r="G26" s="46"/>
      <c r="H26" s="46"/>
      <c r="I26" s="46"/>
    </row>
    <row r="27" spans="1:9" x14ac:dyDescent="0.3">
      <c r="A27" s="3"/>
      <c r="B27" s="171">
        <f>'ULTA Q Rev (Acual)'!B20</f>
        <v>39844</v>
      </c>
      <c r="C27" s="2">
        <f>'ULTA Q Rev (Acual)'!C20</f>
        <v>341394</v>
      </c>
      <c r="D27" s="151">
        <f t="shared" si="0"/>
        <v>281226.42505992041</v>
      </c>
      <c r="E27" s="151">
        <f t="shared" si="1"/>
        <v>5041.6668409339509</v>
      </c>
      <c r="F27" s="151">
        <f t="shared" si="2"/>
        <v>254355.93143068036</v>
      </c>
      <c r="G27" s="46"/>
      <c r="H27" s="46"/>
      <c r="I27" s="46"/>
    </row>
    <row r="28" spans="1:9" x14ac:dyDescent="0.3">
      <c r="A28" s="3"/>
      <c r="B28" s="171">
        <f>'ULTA Q Rev (Acual)'!B21</f>
        <v>39933</v>
      </c>
      <c r="C28" s="2">
        <f>'ULTA Q Rev (Acual)'!C21</f>
        <v>268825</v>
      </c>
      <c r="D28" s="151">
        <f t="shared" si="0"/>
        <v>280883.04030790838</v>
      </c>
      <c r="E28" s="151">
        <f t="shared" si="1"/>
        <v>4798.7779975279545</v>
      </c>
      <c r="F28" s="151">
        <f t="shared" si="2"/>
        <v>286268.09190085437</v>
      </c>
      <c r="G28" s="46"/>
      <c r="H28" s="46"/>
      <c r="I28" s="46"/>
    </row>
    <row r="29" spans="1:9" x14ac:dyDescent="0.3">
      <c r="A29" s="3"/>
      <c r="B29" s="171">
        <f>'ULTA Q Rev (Acual)'!B22</f>
        <v>40025</v>
      </c>
      <c r="C29" s="2">
        <f>'ULTA Q Rev (Acual)'!C22</f>
        <v>273539</v>
      </c>
      <c r="D29" s="151">
        <f t="shared" si="0"/>
        <v>281933.07333348895</v>
      </c>
      <c r="E29" s="151">
        <f t="shared" si="1"/>
        <v>4629.6935765628768</v>
      </c>
      <c r="F29" s="151">
        <f t="shared" si="2"/>
        <v>285681.81830543635</v>
      </c>
      <c r="G29" s="46"/>
      <c r="H29" s="46"/>
      <c r="I29" s="46"/>
    </row>
    <row r="30" spans="1:9" x14ac:dyDescent="0.3">
      <c r="A30" s="3"/>
      <c r="B30" s="171">
        <f>'ULTA Q Rev (Acual)'!B23</f>
        <v>40117</v>
      </c>
      <c r="C30" s="2">
        <f>'ULTA Q Rev (Acual)'!C23</f>
        <v>284043</v>
      </c>
      <c r="D30" s="151">
        <f t="shared" si="0"/>
        <v>285784.86154270335</v>
      </c>
      <c r="E30" s="151">
        <f t="shared" si="1"/>
        <v>4594.6067196046088</v>
      </c>
      <c r="F30" s="151">
        <f t="shared" si="2"/>
        <v>286562.76691005181</v>
      </c>
      <c r="G30" s="46"/>
      <c r="H30" s="46"/>
      <c r="I30" s="46"/>
    </row>
    <row r="31" spans="1:9" x14ac:dyDescent="0.3">
      <c r="A31" s="3"/>
      <c r="B31" s="171">
        <f>'ULTA Q Rev (Acual)'!B24</f>
        <v>40209</v>
      </c>
      <c r="C31" s="2">
        <f>'ULTA Q Rev (Acual)'!C24</f>
        <v>396364</v>
      </c>
      <c r="D31" s="151">
        <f t="shared" si="0"/>
        <v>323099.13600846811</v>
      </c>
      <c r="E31" s="151">
        <f t="shared" si="1"/>
        <v>6070.4035840030156</v>
      </c>
      <c r="F31" s="151">
        <f t="shared" si="2"/>
        <v>290379.46826230799</v>
      </c>
      <c r="G31" s="46"/>
      <c r="H31" s="46"/>
      <c r="I31" s="46"/>
    </row>
    <row r="32" spans="1:9" x14ac:dyDescent="0.3">
      <c r="A32" s="3"/>
      <c r="B32" s="171">
        <f>'ULTA Q Rev (Acual)'!B25</f>
        <v>40298</v>
      </c>
      <c r="C32" s="2">
        <f>'ULTA Q Rev (Acual)'!C25</f>
        <v>320196</v>
      </c>
      <c r="D32" s="151">
        <f t="shared" si="0"/>
        <v>326399.21802611894</v>
      </c>
      <c r="E32" s="151">
        <f t="shared" si="1"/>
        <v>5945.4502405670137</v>
      </c>
      <c r="F32" s="151">
        <f t="shared" si="2"/>
        <v>329169.53959247115</v>
      </c>
      <c r="G32" s="46"/>
      <c r="H32" s="46"/>
      <c r="I32" s="46"/>
    </row>
    <row r="33" spans="1:9" x14ac:dyDescent="0.3">
      <c r="A33" s="3"/>
      <c r="B33" s="171">
        <f>'ULTA Q Rev (Acual)'!B26</f>
        <v>40390</v>
      </c>
      <c r="C33" s="2">
        <f>'ULTA Q Rev (Acual)'!C26</f>
        <v>321804</v>
      </c>
      <c r="D33" s="151">
        <f t="shared" si="0"/>
        <v>329090.54091570567</v>
      </c>
      <c r="E33" s="151">
        <f t="shared" si="1"/>
        <v>5798.6751883816696</v>
      </c>
      <c r="F33" s="151">
        <f t="shared" si="2"/>
        <v>332344.66826668597</v>
      </c>
      <c r="G33" s="46"/>
      <c r="H33" s="46"/>
      <c r="I33" s="46"/>
    </row>
    <row r="34" spans="1:9" x14ac:dyDescent="0.3">
      <c r="A34" s="3"/>
      <c r="B34" s="171">
        <f>'ULTA Q Rev (Acual)'!B27</f>
        <v>40482</v>
      </c>
      <c r="C34" s="2">
        <f>'ULTA Q Rev (Acual)'!C27</f>
        <v>339179</v>
      </c>
      <c r="D34" s="151">
        <f t="shared" si="0"/>
        <v>336213.56317130348</v>
      </c>
      <c r="E34" s="151">
        <f t="shared" si="1"/>
        <v>5858.4089015824147</v>
      </c>
      <c r="F34" s="151">
        <f t="shared" si="2"/>
        <v>334889.21610408736</v>
      </c>
      <c r="G34" s="46"/>
      <c r="H34" s="46"/>
      <c r="I34" s="46"/>
    </row>
    <row r="35" spans="1:9" x14ac:dyDescent="0.3">
      <c r="A35" s="3"/>
      <c r="B35" s="171">
        <f>'ULTA Q Rev (Acual)'!B28</f>
        <v>40574</v>
      </c>
      <c r="C35" s="2">
        <f>'ULTA Q Rev (Acual)'!C28</f>
        <v>473659</v>
      </c>
      <c r="D35" s="151">
        <f t="shared" si="0"/>
        <v>382695.67218165076</v>
      </c>
      <c r="E35" s="151">
        <f t="shared" si="1"/>
        <v>7690.7114086215388</v>
      </c>
      <c r="F35" s="151">
        <f t="shared" si="2"/>
        <v>342071.9720728859</v>
      </c>
      <c r="G35" s="46"/>
      <c r="H35" s="46"/>
      <c r="I35" s="46"/>
    </row>
    <row r="36" spans="1:9" x14ac:dyDescent="0.3">
      <c r="A36" s="3"/>
      <c r="B36" s="171">
        <f>'ULTA Q Rev (Acual)'!B29</f>
        <v>40663</v>
      </c>
      <c r="C36" s="2">
        <f>'ULTA Q Rev (Acual)'!C29</f>
        <v>386006</v>
      </c>
      <c r="D36" s="151">
        <f t="shared" si="0"/>
        <v>389034.06648017582</v>
      </c>
      <c r="E36" s="151">
        <f t="shared" si="1"/>
        <v>7629.7161269384933</v>
      </c>
      <c r="F36" s="151">
        <f t="shared" si="2"/>
        <v>390386.38359027228</v>
      </c>
      <c r="G36" s="46"/>
      <c r="H36" s="46"/>
      <c r="I36" s="46"/>
    </row>
    <row r="37" spans="1:9" x14ac:dyDescent="0.3">
      <c r="A37" s="3"/>
      <c r="B37" s="171">
        <f>'ULTA Q Rev (Acual)'!B30</f>
        <v>40755</v>
      </c>
      <c r="C37" s="2">
        <f>'ULTA Q Rev (Acual)'!C30</f>
        <v>394567</v>
      </c>
      <c r="D37" s="151">
        <f t="shared" si="0"/>
        <v>396016.46144509315</v>
      </c>
      <c r="E37" s="151">
        <f t="shared" si="1"/>
        <v>7600.5191757780813</v>
      </c>
      <c r="F37" s="151">
        <f t="shared" si="2"/>
        <v>396663.78260711429</v>
      </c>
      <c r="G37" s="46"/>
      <c r="H37" s="46"/>
      <c r="I37" s="46"/>
    </row>
    <row r="38" spans="1:9" x14ac:dyDescent="0.3">
      <c r="A38" s="3"/>
      <c r="B38" s="171">
        <f>'ULTA Q Rev (Acual)'!B31</f>
        <v>40847</v>
      </c>
      <c r="C38" s="2">
        <f>'ULTA Q Rev (Acual)'!C31</f>
        <v>413067</v>
      </c>
      <c r="D38" s="151">
        <f t="shared" si="0"/>
        <v>406534.40158042341</v>
      </c>
      <c r="E38" s="151">
        <f t="shared" si="1"/>
        <v>7732.1073305735272</v>
      </c>
      <c r="F38" s="151">
        <f t="shared" si="2"/>
        <v>403616.98062087124</v>
      </c>
      <c r="G38" s="50"/>
      <c r="H38" s="50"/>
      <c r="I38" s="50"/>
    </row>
    <row r="39" spans="1:9" x14ac:dyDescent="0.3">
      <c r="A39" s="3"/>
      <c r="B39" s="171">
        <f>'ULTA Q Rev (Acual)'!B32</f>
        <v>40939</v>
      </c>
      <c r="C39" s="2">
        <f>'ULTA Q Rev (Acual)'!C32</f>
        <v>582511</v>
      </c>
      <c r="D39" s="151">
        <f t="shared" si="0"/>
        <v>466207.14362718764</v>
      </c>
      <c r="E39" s="151">
        <f t="shared" si="1"/>
        <v>10074.85195878</v>
      </c>
      <c r="F39" s="151">
        <f t="shared" si="2"/>
        <v>414266.50891099696</v>
      </c>
      <c r="G39" s="50"/>
      <c r="H39" s="50"/>
      <c r="I39" s="50"/>
    </row>
    <row r="40" spans="1:9" x14ac:dyDescent="0.3">
      <c r="A40" s="3"/>
      <c r="B40" s="171">
        <f>'ULTA Q Rev (Acual)'!B33</f>
        <v>41029</v>
      </c>
      <c r="C40" s="2">
        <f>'ULTA Q Rev (Acual)'!C33</f>
        <v>474098</v>
      </c>
      <c r="D40" s="151">
        <f t="shared" si="0"/>
        <v>475607.74993181124</v>
      </c>
      <c r="E40" s="151">
        <f t="shared" si="1"/>
        <v>10044.44059794474</v>
      </c>
      <c r="F40" s="151">
        <f t="shared" si="2"/>
        <v>476281.99558596767</v>
      </c>
      <c r="G40" s="50"/>
      <c r="H40" s="50"/>
      <c r="I40" s="50"/>
    </row>
    <row r="41" spans="1:9" x14ac:dyDescent="0.3">
      <c r="A41" s="3"/>
      <c r="B41" s="171">
        <f>'ULTA Q Rev (Acual)'!B34</f>
        <v>41121</v>
      </c>
      <c r="C41" s="2">
        <f>'ULTA Q Rev (Acual)'!C34</f>
        <v>481683</v>
      </c>
      <c r="D41" s="151">
        <f t="shared" si="0"/>
        <v>484426.81741893024</v>
      </c>
      <c r="E41" s="151">
        <f t="shared" si="1"/>
        <v>9989.1710332075818</v>
      </c>
      <c r="F41" s="151">
        <f t="shared" si="2"/>
        <v>485652.19052975596</v>
      </c>
      <c r="G41" s="50"/>
      <c r="H41" s="50"/>
      <c r="I41" s="50"/>
    </row>
    <row r="42" spans="1:9" x14ac:dyDescent="0.3">
      <c r="A42" s="3"/>
      <c r="B42" s="171">
        <f>'ULTA Q Rev (Acual)'!B35</f>
        <v>41213</v>
      </c>
      <c r="C42" s="2">
        <f>'ULTA Q Rev (Acual)'!C35</f>
        <v>505640</v>
      </c>
      <c r="D42" s="151">
        <f t="shared" si="0"/>
        <v>497881.07833463151</v>
      </c>
      <c r="E42" s="151">
        <f t="shared" si="1"/>
        <v>10145.461397251482</v>
      </c>
      <c r="F42" s="151">
        <f t="shared" si="2"/>
        <v>494415.9884521378</v>
      </c>
      <c r="G42" s="50"/>
      <c r="H42" s="50"/>
      <c r="I42" s="50"/>
    </row>
    <row r="43" spans="1:9" x14ac:dyDescent="0.3">
      <c r="B43" s="171">
        <f>'ULTA Q Rev (Acual)'!B36</f>
        <v>41365</v>
      </c>
      <c r="C43" s="2">
        <f>'ULTA Q Rev (Acual)'!C36</f>
        <v>758835</v>
      </c>
      <c r="D43" s="151">
        <f t="shared" si="0"/>
        <v>585456.41891660471</v>
      </c>
      <c r="E43" s="151">
        <f t="shared" si="1"/>
        <v>13637.879896060051</v>
      </c>
      <c r="F43" s="151">
        <f t="shared" si="2"/>
        <v>508026.53973188298</v>
      </c>
      <c r="G43" s="50"/>
      <c r="H43" s="50"/>
    </row>
    <row r="44" spans="1:9" x14ac:dyDescent="0.3">
      <c r="B44" s="171">
        <f>'ULTA Q Rev (Acual)'!B37</f>
        <v>41435</v>
      </c>
      <c r="C44" s="2">
        <f>'ULTA Q Rev (Acual)'!C37</f>
        <v>582712</v>
      </c>
      <c r="D44" s="151">
        <f t="shared" si="0"/>
        <v>594036.73649408657</v>
      </c>
      <c r="E44" s="151">
        <f t="shared" si="1"/>
        <v>13409.762218669111</v>
      </c>
      <c r="F44" s="151">
        <f t="shared" si="2"/>
        <v>599094.29881266481</v>
      </c>
      <c r="G44" s="50"/>
      <c r="H44" s="50"/>
    </row>
    <row r="45" spans="1:9" x14ac:dyDescent="0.3">
      <c r="B45" s="171">
        <f>'ULTA Q Rev (Acual)'!B38</f>
        <v>41528</v>
      </c>
      <c r="C45" s="2">
        <f>'ULTA Q Rev (Acual)'!C38</f>
        <v>600998</v>
      </c>
      <c r="D45" s="151">
        <f t="shared" si="0"/>
        <v>605455.71069979249</v>
      </c>
      <c r="E45" s="151">
        <f t="shared" si="1"/>
        <v>13319.96917034093</v>
      </c>
      <c r="F45" s="151">
        <f t="shared" si="2"/>
        <v>607446.49871275562</v>
      </c>
      <c r="G45" s="50"/>
      <c r="H45" s="50"/>
    </row>
    <row r="46" spans="1:9" x14ac:dyDescent="0.3">
      <c r="B46" s="171">
        <f>'ULTA Q Rev (Acual)'!B39</f>
        <v>41612</v>
      </c>
      <c r="C46" s="2">
        <f>'ULTA Q Rev (Acual)'!C39</f>
        <v>618781</v>
      </c>
      <c r="D46" s="151">
        <f t="shared" si="0"/>
        <v>618777.32230680552</v>
      </c>
      <c r="E46" s="151">
        <f t="shared" si="1"/>
        <v>13320.043251254878</v>
      </c>
      <c r="F46" s="151">
        <f t="shared" si="2"/>
        <v>618775.6798701334</v>
      </c>
      <c r="G46" s="50"/>
      <c r="H46" s="50"/>
    </row>
    <row r="47" spans="1:9" x14ac:dyDescent="0.3">
      <c r="B47" s="171">
        <f>'ULTA Q Rev (Acual)'!B40</f>
        <v>41728</v>
      </c>
      <c r="C47" s="2">
        <f>'ULTA Q Rev (Acual)'!C40</f>
        <v>868082</v>
      </c>
      <c r="D47" s="151">
        <f t="shared" si="0"/>
        <v>704950.81601486262</v>
      </c>
      <c r="E47" s="151">
        <f t="shared" si="1"/>
        <v>16606.045254052449</v>
      </c>
      <c r="F47" s="151">
        <f t="shared" si="2"/>
        <v>632097.36555806035</v>
      </c>
    </row>
    <row r="48" spans="1:9" ht="15" x14ac:dyDescent="0.3">
      <c r="A48" s="107"/>
      <c r="B48" s="171">
        <f>'ULTA Q Rev (Acual)'!B41</f>
        <v>41794</v>
      </c>
      <c r="C48" s="2">
        <f>'ULTA Q Rev (Acual)'!C41</f>
        <v>713770</v>
      </c>
      <c r="D48" s="151">
        <f t="shared" si="0"/>
        <v>719152.89241301711</v>
      </c>
      <c r="E48" s="151">
        <f t="shared" si="1"/>
        <v>16497.615983707492</v>
      </c>
      <c r="F48" s="151">
        <f t="shared" si="2"/>
        <v>721556.86126891512</v>
      </c>
      <c r="G48" s="50"/>
    </row>
    <row r="49" spans="1:7" ht="15.5" x14ac:dyDescent="0.35">
      <c r="A49" s="109"/>
      <c r="B49" s="171">
        <f>'ULTA Q Rev (Acual)'!B42</f>
        <v>41823</v>
      </c>
      <c r="C49" s="2">
        <f>'ULTA Q Rev (Acual)'!C42</f>
        <v>734236</v>
      </c>
      <c r="D49" s="151">
        <f t="shared" si="0"/>
        <v>735213.81972144195</v>
      </c>
      <c r="E49" s="151">
        <f t="shared" si="1"/>
        <v>16477.919457975622</v>
      </c>
      <c r="F49" s="151">
        <f t="shared" si="2"/>
        <v>735650.50839672459</v>
      </c>
      <c r="G49" s="50"/>
    </row>
    <row r="50" spans="1:7" ht="15.5" x14ac:dyDescent="0.35">
      <c r="A50" s="109"/>
      <c r="B50" s="171">
        <f>'ULTA Q Rev (Acual)'!B43</f>
        <v>41976</v>
      </c>
      <c r="C50" s="2">
        <f>'ULTA Q Rev (Acual)'!C43</f>
        <v>745722</v>
      </c>
      <c r="D50" s="151">
        <f t="shared" si="0"/>
        <v>749848.75436569774</v>
      </c>
      <c r="E50" s="151">
        <f t="shared" si="1"/>
        <v>16394.792965667621</v>
      </c>
      <c r="F50" s="151">
        <f t="shared" si="2"/>
        <v>751691.73917941761</v>
      </c>
      <c r="G50" s="50"/>
    </row>
    <row r="51" spans="1:7" ht="15.5" x14ac:dyDescent="0.35">
      <c r="A51" s="109"/>
      <c r="B51" s="171">
        <f>'ULTA Q Rev (Acual)'!B44</f>
        <v>42091</v>
      </c>
      <c r="C51" s="2">
        <f>'ULTA Q Rev (Acual)'!C44</f>
        <v>1047641</v>
      </c>
      <c r="D51" s="151">
        <f t="shared" si="0"/>
        <v>853116.89578112902</v>
      </c>
      <c r="E51" s="151">
        <f t="shared" si="1"/>
        <v>20313.152291214174</v>
      </c>
      <c r="F51" s="151">
        <f t="shared" si="2"/>
        <v>766243.54733136541</v>
      </c>
      <c r="G51" s="50"/>
    </row>
    <row r="52" spans="1:7" x14ac:dyDescent="0.3">
      <c r="B52" s="171">
        <f>'ULTA Q Rev (Acual)'!B45</f>
        <v>42157</v>
      </c>
      <c r="C52" s="2">
        <f>'ULTA Q Rev (Acual)'!C45</f>
        <v>868122</v>
      </c>
      <c r="D52" s="151">
        <f t="shared" si="0"/>
        <v>871791.34130579769</v>
      </c>
      <c r="E52" s="151">
        <f t="shared" si="1"/>
        <v>20239.239611950488</v>
      </c>
      <c r="F52" s="151">
        <f t="shared" si="2"/>
        <v>873430.04807234323</v>
      </c>
    </row>
    <row r="53" spans="1:7" x14ac:dyDescent="0.3">
      <c r="B53" s="171">
        <f>'ULTA Q Rev (Acual)'!B46</f>
        <v>42241</v>
      </c>
      <c r="C53" s="2">
        <f>'ULTA Q Rev (Acual)'!C46</f>
        <v>876999</v>
      </c>
      <c r="D53" s="151">
        <f t="shared" si="0"/>
        <v>887390.01379663753</v>
      </c>
      <c r="E53" s="151">
        <f t="shared" si="1"/>
        <v>20029.930200268915</v>
      </c>
      <c r="F53" s="151">
        <f t="shared" si="2"/>
        <v>892030.58091774816</v>
      </c>
    </row>
    <row r="54" spans="1:7" x14ac:dyDescent="0.3">
      <c r="B54" s="171">
        <f>'ULTA Q Rev (Acual)'!B47</f>
        <v>42339</v>
      </c>
      <c r="C54" s="2">
        <f>'ULTA Q Rev (Acual)'!C47</f>
        <v>910700</v>
      </c>
      <c r="D54" s="151">
        <f t="shared" si="0"/>
        <v>908432.56669618515</v>
      </c>
      <c r="E54" s="151">
        <f t="shared" si="1"/>
        <v>20075.603812116322</v>
      </c>
      <c r="F54" s="151">
        <f t="shared" si="2"/>
        <v>907419.9439969064</v>
      </c>
    </row>
    <row r="55" spans="1:7" x14ac:dyDescent="0.3">
      <c r="B55" s="171">
        <f>'ULTA Q Rev (Acual)'!B48</f>
        <v>42463</v>
      </c>
      <c r="C55" s="2">
        <f>'ULTA Q Rev (Acual)'!C48</f>
        <v>1268295</v>
      </c>
      <c r="D55" s="151">
        <f t="shared" si="0"/>
        <v>1033407.5551940355</v>
      </c>
      <c r="E55" s="151">
        <f t="shared" si="1"/>
        <v>24807.014418041454</v>
      </c>
      <c r="F55" s="151">
        <f t="shared" si="2"/>
        <v>928508.17050830147</v>
      </c>
    </row>
    <row r="56" spans="1:7" x14ac:dyDescent="0.3">
      <c r="B56" s="171">
        <f>'ULTA Q Rev (Acual)'!B49</f>
        <v>42522</v>
      </c>
      <c r="C56" s="2">
        <f>'ULTA Q Rev (Acual)'!C49</f>
        <v>1073716</v>
      </c>
      <c r="D56" s="151">
        <f t="shared" si="0"/>
        <v>1063000.1892073813</v>
      </c>
      <c r="E56" s="151">
        <f t="shared" si="1"/>
        <v>25022.866316286436</v>
      </c>
      <c r="F56" s="151">
        <f t="shared" si="2"/>
        <v>1058214.569612077</v>
      </c>
    </row>
    <row r="57" spans="1:7" x14ac:dyDescent="0.3">
      <c r="B57" s="171">
        <f>'ULTA Q Rev (Acual)'!B50</f>
        <v>42613</v>
      </c>
      <c r="C57" s="2">
        <f>'ULTA Q Rev (Acual)'!C50</f>
        <v>1069215</v>
      </c>
      <c r="D57" s="151">
        <f t="shared" si="0"/>
        <v>1082216.6107755904</v>
      </c>
      <c r="E57" s="151">
        <f t="shared" si="1"/>
        <v>24760.970840482871</v>
      </c>
      <c r="F57" s="151">
        <f t="shared" si="2"/>
        <v>1088023.0555236677</v>
      </c>
    </row>
    <row r="58" spans="1:7" x14ac:dyDescent="0.3">
      <c r="B58" s="171">
        <f>'ULTA Q Rev (Acual)'!B51</f>
        <v>42704</v>
      </c>
      <c r="C58" s="2">
        <f>'ULTA Q Rev (Acual)'!C51</f>
        <v>1131232</v>
      </c>
      <c r="D58" s="151">
        <f t="shared" si="0"/>
        <v>1114465.4338326831</v>
      </c>
      <c r="E58" s="151">
        <f t="shared" si="1"/>
        <v>25098.704979719303</v>
      </c>
      <c r="F58" s="151">
        <f t="shared" si="2"/>
        <v>1106977.5816160734</v>
      </c>
    </row>
    <row r="59" spans="1:7" x14ac:dyDescent="0.3">
      <c r="B59" s="171">
        <f>'ULTA Q Rev (Acual)'!B52</f>
        <v>42827</v>
      </c>
      <c r="C59" s="2">
        <f>'ULTA Q Rev (Acual)'!C52</f>
        <v>1580574</v>
      </c>
      <c r="D59" s="151">
        <f t="shared" si="0"/>
        <v>1275713.2154205944</v>
      </c>
      <c r="E59" s="151">
        <f t="shared" si="1"/>
        <v>31239.610257484183</v>
      </c>
      <c r="F59" s="151">
        <f t="shared" si="2"/>
        <v>1139564.1388124025</v>
      </c>
    </row>
    <row r="60" spans="1:7" x14ac:dyDescent="0.3">
      <c r="B60" s="171">
        <f>'ULTA Q Rev (Acual)'!B53</f>
        <v>42887</v>
      </c>
      <c r="C60" s="2">
        <f>'ULTA Q Rev (Acual)'!C53</f>
        <v>1314879</v>
      </c>
      <c r="D60" s="151">
        <f t="shared" si="0"/>
        <v>1309399.803421522</v>
      </c>
      <c r="E60" s="151">
        <f t="shared" si="1"/>
        <v>31349.979412484245</v>
      </c>
      <c r="F60" s="151">
        <f t="shared" si="2"/>
        <v>1306952.8256780787</v>
      </c>
    </row>
    <row r="61" spans="1:7" x14ac:dyDescent="0.3">
      <c r="B61" s="171">
        <f>'ULTA Q Rev (Acual)'!B54</f>
        <v>42977</v>
      </c>
      <c r="C61" s="2">
        <f>'ULTA Q Rev (Acual)'!C54</f>
        <v>1289854</v>
      </c>
      <c r="D61" s="151">
        <f t="shared" si="0"/>
        <v>1325037.1776386467</v>
      </c>
      <c r="E61" s="151">
        <f t="shared" si="1"/>
        <v>30641.273760008204</v>
      </c>
      <c r="F61" s="151">
        <f t="shared" si="2"/>
        <v>1340749.7828340062</v>
      </c>
    </row>
    <row r="62" spans="1:7" x14ac:dyDescent="0.3">
      <c r="B62" s="171">
        <f>'ULTA Q Rev (Acual)'!B55</f>
        <v>43075</v>
      </c>
      <c r="C62" s="2">
        <f>'ULTA Q Rev (Acual)'!C55</f>
        <v>1342181</v>
      </c>
      <c r="D62" s="151">
        <f t="shared" si="0"/>
        <v>1351511.5025246723</v>
      </c>
      <c r="E62" s="151">
        <f t="shared" si="1"/>
        <v>30453.326555591571</v>
      </c>
      <c r="F62" s="151">
        <f t="shared" si="2"/>
        <v>1355678.4513986548</v>
      </c>
    </row>
    <row r="63" spans="1:7" x14ac:dyDescent="0.3">
      <c r="B63" s="171">
        <f>'ULTA Q Rev (Acual)'!B56</f>
        <v>43186</v>
      </c>
      <c r="C63" s="2">
        <f>'ULTA Q Rev (Acual)'!C56</f>
        <v>1937592</v>
      </c>
      <c r="D63" s="151">
        <f t="shared" si="0"/>
        <v>1553498.6946846088</v>
      </c>
      <c r="E63" s="151">
        <f t="shared" si="1"/>
        <v>38190.237057280225</v>
      </c>
      <c r="F63" s="151">
        <f t="shared" si="2"/>
        <v>1381964.8290802639</v>
      </c>
    </row>
    <row r="64" spans="1:7" x14ac:dyDescent="0.3">
      <c r="B64" s="171">
        <f>'ULTA Q Rev (Acual)'!B57</f>
        <v>43250</v>
      </c>
      <c r="C64" s="2">
        <f>'ULTA Q Rev (Acual)'!C57</f>
        <v>1543667</v>
      </c>
      <c r="D64" s="151">
        <f t="shared" si="0"/>
        <v>1576863.5451938575</v>
      </c>
      <c r="E64" s="151">
        <f t="shared" si="1"/>
        <v>37521.54875791182</v>
      </c>
      <c r="F64" s="151">
        <f t="shared" si="2"/>
        <v>1591688.9317418891</v>
      </c>
    </row>
    <row r="65" spans="2:6" x14ac:dyDescent="0.3">
      <c r="B65" s="171">
        <f>'ULTA Q Rev (Acual)'!B58</f>
        <v>43341</v>
      </c>
      <c r="C65" s="2">
        <f>'ULTA Q Rev (Acual)'!C58</f>
        <v>1488221</v>
      </c>
      <c r="D65" s="151">
        <f t="shared" si="0"/>
        <v>1575435.5683189721</v>
      </c>
      <c r="E65" s="151">
        <f t="shared" si="1"/>
        <v>35764.758675425932</v>
      </c>
      <c r="F65" s="151">
        <f t="shared" si="2"/>
        <v>1614385.0939517694</v>
      </c>
    </row>
    <row r="66" spans="2:6" x14ac:dyDescent="0.3">
      <c r="B66" s="171">
        <f>'ULTA Q Rev (Acual)'!B59</f>
        <v>43439</v>
      </c>
      <c r="C66" s="2">
        <f>'ULTA Q Rev (Acual)'!C59</f>
        <v>1560011</v>
      </c>
      <c r="D66" s="151">
        <f t="shared" si="0"/>
        <v>1595397.0985048711</v>
      </c>
      <c r="E66" s="151">
        <f t="shared" si="1"/>
        <v>35051.965525044623</v>
      </c>
      <c r="F66" s="151">
        <f t="shared" si="2"/>
        <v>1611200.3269943981</v>
      </c>
    </row>
    <row r="67" spans="2:6" x14ac:dyDescent="0.3">
      <c r="B67" s="171">
        <f>'ULTA Q Rev (Acual)'!B60</f>
        <v>43550</v>
      </c>
      <c r="C67" s="2">
        <f>'ULTA Q Rev (Acual)'!C60</f>
        <v>2124716</v>
      </c>
      <c r="D67" s="151">
        <f t="shared" si="0"/>
        <v>1783039.7266266004</v>
      </c>
      <c r="E67" s="151">
        <f t="shared" si="1"/>
        <v>41934.456604835308</v>
      </c>
      <c r="F67" s="151">
        <f t="shared" si="2"/>
        <v>1630449.0640299157</v>
      </c>
    </row>
    <row r="68" spans="2:6" x14ac:dyDescent="0.3">
      <c r="B68" s="171">
        <f>'ULTA Q Rev (Acual)'!B61</f>
        <v>43613</v>
      </c>
      <c r="C68" s="2">
        <f>'ULTA Q Rev (Acual)'!C61</f>
        <v>1743029</v>
      </c>
      <c r="D68" s="151">
        <f t="shared" si="0"/>
        <v>1799675.9710794329</v>
      </c>
      <c r="E68" s="151">
        <f t="shared" si="1"/>
        <v>40793.399108211037</v>
      </c>
      <c r="F68" s="151">
        <f t="shared" si="2"/>
        <v>1824974.1832314357</v>
      </c>
    </row>
    <row r="69" spans="2:6" x14ac:dyDescent="0.3">
      <c r="B69" s="171">
        <f>'ULTA Q Rev (Acual)'!B62</f>
        <v>43704</v>
      </c>
      <c r="C69" s="2">
        <f>'ULTA Q Rev (Acual)'!C62</f>
        <v>1666607</v>
      </c>
      <c r="D69" s="151">
        <f t="shared" si="0"/>
        <v>1786794.3773105794</v>
      </c>
      <c r="E69" s="151">
        <f t="shared" si="1"/>
        <v>38372.427514027448</v>
      </c>
      <c r="F69" s="151">
        <f t="shared" si="2"/>
        <v>1840469.3701876439</v>
      </c>
    </row>
    <row r="70" spans="2:6" x14ac:dyDescent="0.3">
      <c r="B70" s="171">
        <f>'ULTA Q Rev (Acual)'!B63</f>
        <v>43802</v>
      </c>
      <c r="C70" s="2">
        <f>'ULTA Q Rev (Acual)'!C63</f>
        <v>1682514</v>
      </c>
      <c r="D70" s="151">
        <f t="shared" si="0"/>
        <v>1781126.8652184103</v>
      </c>
      <c r="E70" s="151">
        <f t="shared" si="1"/>
        <v>36386.038004105008</v>
      </c>
      <c r="F70" s="151">
        <f t="shared" si="2"/>
        <v>1825166.8048246067</v>
      </c>
    </row>
    <row r="71" spans="2:6" x14ac:dyDescent="0.3">
      <c r="B71" s="171">
        <f>'ULTA Q Rev (Acual)'!B64</f>
        <v>43915</v>
      </c>
      <c r="C71" s="2">
        <f>'ULTA Q Rev (Acual)'!C64</f>
        <v>2305918</v>
      </c>
      <c r="D71" s="151">
        <f t="shared" si="0"/>
        <v>1968293.8920147435</v>
      </c>
      <c r="E71" s="151">
        <f t="shared" si="1"/>
        <v>43186.905060482008</v>
      </c>
      <c r="F71" s="151">
        <f t="shared" si="2"/>
        <v>1817512.9032225152</v>
      </c>
    </row>
    <row r="72" spans="2:6" x14ac:dyDescent="0.3">
      <c r="B72" s="171">
        <f>'ULTA Q Rev (Acual)'!B65</f>
        <v>43978</v>
      </c>
      <c r="C72" s="2">
        <f>'ULTA Q Rev (Acual)'!C65</f>
        <v>1173210</v>
      </c>
      <c r="D72" s="151">
        <f t="shared" si="0"/>
        <v>1752688.8628947411</v>
      </c>
      <c r="E72" s="151">
        <f t="shared" si="1"/>
        <v>31514.282711192449</v>
      </c>
      <c r="F72" s="151">
        <f t="shared" si="2"/>
        <v>2011480.7970752255</v>
      </c>
    </row>
    <row r="73" spans="2:6" x14ac:dyDescent="0.3">
      <c r="B73" s="171">
        <f>'ULTA Q Rev (Acual)'!B66</f>
        <v>44068</v>
      </c>
      <c r="C73" s="2">
        <f>'ULTA Q Rev (Acual)'!C66</f>
        <v>1228009</v>
      </c>
      <c r="D73" s="151">
        <f t="shared" si="0"/>
        <v>1612494.2429178867</v>
      </c>
      <c r="E73" s="151">
        <f t="shared" si="1"/>
        <v>23769.477288892598</v>
      </c>
      <c r="F73" s="151">
        <f t="shared" si="2"/>
        <v>1784203.1456059336</v>
      </c>
    </row>
    <row r="74" spans="2:6" x14ac:dyDescent="0.3">
      <c r="B74" s="171">
        <f>'ULTA Q Rev (Acual)'!B67</f>
        <v>44167</v>
      </c>
      <c r="C74" s="2">
        <f>'ULTA Q Rev (Acual)'!C67</f>
        <v>1552033</v>
      </c>
      <c r="D74" s="151">
        <f t="shared" si="0"/>
        <v>1610259.9144249447</v>
      </c>
      <c r="E74" s="151">
        <f t="shared" si="1"/>
        <v>22596.594503743891</v>
      </c>
      <c r="F74" s="151">
        <f t="shared" si="2"/>
        <v>1636263.7202067792</v>
      </c>
    </row>
    <row r="75" spans="2:6" x14ac:dyDescent="0.3">
      <c r="B75" s="171">
        <f>'ULTA Q Rev (Acual)'!B68</f>
        <v>44279</v>
      </c>
      <c r="C75" s="2">
        <f>'ULTA Q Rev (Acual)'!C68</f>
        <v>2198701</v>
      </c>
      <c r="D75" s="151">
        <f t="shared" si="0"/>
        <v>1807544.6774783265</v>
      </c>
      <c r="E75" s="151">
        <f t="shared" si="1"/>
        <v>30475.777550256058</v>
      </c>
      <c r="F75" s="151">
        <f t="shared" si="2"/>
        <v>1632856.5089286885</v>
      </c>
    </row>
    <row r="76" spans="2:6" x14ac:dyDescent="0.3">
      <c r="B76" s="171">
        <f>'ULTA Q Rev (Acual)'!B69</f>
        <v>44342</v>
      </c>
      <c r="C76" s="2">
        <f>'ULTA Q Rev (Acual)'!C69</f>
        <v>1938519</v>
      </c>
      <c r="D76" s="151">
        <f t="shared" si="0"/>
        <v>1869046.482567919</v>
      </c>
      <c r="E76" s="151">
        <f t="shared" si="1"/>
        <v>31875.184002440001</v>
      </c>
      <c r="F76" s="151">
        <f t="shared" si="2"/>
        <v>1838020.4550285826</v>
      </c>
    </row>
    <row r="77" spans="2:6" x14ac:dyDescent="0.3">
      <c r="B77" s="171">
        <f>'ULTA Q Rev (Acual)'!B70</f>
        <v>44433</v>
      </c>
      <c r="C77" s="2">
        <f>'ULTA Q Rev (Acual)'!C70</f>
        <v>1967207</v>
      </c>
      <c r="D77" s="151">
        <f t="shared" si="0"/>
        <v>1921385.3517015919</v>
      </c>
      <c r="E77" s="151">
        <f t="shared" si="1"/>
        <v>32798.183666892706</v>
      </c>
      <c r="F77" s="151">
        <f t="shared" si="2"/>
        <v>1900921.6665703589</v>
      </c>
    </row>
    <row r="78" spans="2:6" x14ac:dyDescent="0.3">
      <c r="B78" s="171">
        <f>'ULTA Q Rev (Acual)'!B71</f>
        <v>44531</v>
      </c>
      <c r="C78" s="2">
        <f>'ULTA Q Rev (Acual)'!C71</f>
        <v>1995775</v>
      </c>
      <c r="D78" s="151">
        <f t="shared" ref="D78:D94" si="3">$D$5*C78+(1-$D$5)*(D77+E77)</f>
        <v>1967023.700640785</v>
      </c>
      <c r="E78" s="151">
        <f t="shared" ref="E78:E94" si="4">$D$6*(D78-D77)+(1-$D$6)*E77</f>
        <v>33377.330001575217</v>
      </c>
      <c r="F78" s="151">
        <f t="shared" ref="F78:F94" si="5">SUM(D77:E77)</f>
        <v>1954183.5353684847</v>
      </c>
    </row>
    <row r="79" spans="2:6" x14ac:dyDescent="0.3">
      <c r="B79" s="171">
        <f>'ULTA Q Rev (Acual)'!B72</f>
        <v>44646</v>
      </c>
      <c r="C79" s="2">
        <f>'ULTA Q Rev (Acual)'!C72</f>
        <v>2729388</v>
      </c>
      <c r="D79" s="151">
        <f t="shared" si="3"/>
        <v>2225454.7345894193</v>
      </c>
      <c r="E79" s="151">
        <f t="shared" si="4"/>
        <v>43528.213964793176</v>
      </c>
      <c r="F79" s="151">
        <f t="shared" si="5"/>
        <v>2000401.0306423602</v>
      </c>
    </row>
    <row r="80" spans="2:6" x14ac:dyDescent="0.3">
      <c r="B80" s="171">
        <f>'ULTA Q Rev (Acual)'!B73</f>
        <v>44706</v>
      </c>
      <c r="C80" s="2">
        <f>'ULTA Q Rev (Acual)'!C73</f>
        <v>2345901</v>
      </c>
      <c r="D80" s="151">
        <f t="shared" si="3"/>
        <v>2292729.1787420008</v>
      </c>
      <c r="E80" s="151">
        <f t="shared" si="4"/>
        <v>44599.270441414446</v>
      </c>
      <c r="F80" s="151">
        <f t="shared" si="5"/>
        <v>2268982.9485542127</v>
      </c>
    </row>
    <row r="81" spans="1:6" x14ac:dyDescent="0.3">
      <c r="B81" s="171">
        <f>'ULTA Q Rev (Acual)'!B74</f>
        <v>44797</v>
      </c>
      <c r="C81" s="2">
        <f>'ULTA Q Rev (Acual)'!C74</f>
        <v>2297113</v>
      </c>
      <c r="D81" s="151">
        <f t="shared" si="3"/>
        <v>2324913.0889985859</v>
      </c>
      <c r="E81" s="151">
        <f t="shared" si="4"/>
        <v>44039.284631861163</v>
      </c>
      <c r="F81" s="151">
        <f t="shared" si="5"/>
        <v>2337328.4491834152</v>
      </c>
    </row>
    <row r="82" spans="1:6" x14ac:dyDescent="0.3">
      <c r="B82" s="171">
        <f>'ULTA Q Rev (Acual)'!B75</f>
        <v>44895</v>
      </c>
      <c r="C82" s="2">
        <f>'ULTA Q Rev (Acual)'!C75</f>
        <v>2338793</v>
      </c>
      <c r="D82" s="151">
        <f t="shared" si="3"/>
        <v>2359641.5367711321</v>
      </c>
      <c r="E82" s="151">
        <f t="shared" si="4"/>
        <v>43619.326093513395</v>
      </c>
      <c r="F82" s="151">
        <f t="shared" si="5"/>
        <v>2368952.3736304473</v>
      </c>
    </row>
    <row r="83" spans="1:6" x14ac:dyDescent="0.3">
      <c r="B83" s="171">
        <f>'ULTA Q Rev (Acual)'!B76</f>
        <v>45012</v>
      </c>
      <c r="C83" s="2">
        <f>'ULTA Q Rev (Acual)'!C76</f>
        <v>3226773</v>
      </c>
      <c r="D83" s="151">
        <f t="shared" si="3"/>
        <v>2657496.4864053251</v>
      </c>
      <c r="E83" s="151">
        <f t="shared" si="4"/>
        <v>55086.439358553835</v>
      </c>
      <c r="F83" s="151">
        <f t="shared" si="5"/>
        <v>2403260.8628646457</v>
      </c>
    </row>
    <row r="84" spans="1:6" x14ac:dyDescent="0.3">
      <c r="B84" s="171">
        <f>'ULTA Q Rev (Acual)'!B77</f>
        <v>45076</v>
      </c>
      <c r="C84" s="2">
        <f>'ULTA Q Rev (Acual)'!C77</f>
        <v>2634263</v>
      </c>
      <c r="D84" s="151">
        <f t="shared" si="3"/>
        <v>2688403.9073082386</v>
      </c>
      <c r="E84" s="151">
        <f t="shared" si="4"/>
        <v>53995.86228124678</v>
      </c>
      <c r="F84" s="151">
        <f t="shared" si="5"/>
        <v>2712582.925763879</v>
      </c>
    </row>
    <row r="85" spans="1:6" x14ac:dyDescent="0.3">
      <c r="B85" s="171">
        <f>'ULTA Q Rev (Acual)'!B78</f>
        <v>45167</v>
      </c>
      <c r="C85" s="2">
        <f>'ULTA Q Rev (Acual)'!C78</f>
        <v>2529809</v>
      </c>
      <c r="D85" s="151">
        <f t="shared" si="3"/>
        <v>2676768.5002634665</v>
      </c>
      <c r="E85" s="151">
        <f t="shared" si="4"/>
        <v>51035.611516194534</v>
      </c>
      <c r="F85" s="151">
        <f t="shared" si="5"/>
        <v>2742399.7695894851</v>
      </c>
    </row>
    <row r="86" spans="1:6" x14ac:dyDescent="0.3">
      <c r="B86" s="171">
        <f>'ULTA Q Rev (Acual)'!B79</f>
        <v>45265</v>
      </c>
      <c r="C86" s="2">
        <f>'ULTA Q Rev (Acual)'!C79</f>
        <v>2488933</v>
      </c>
      <c r="D86" s="151">
        <f t="shared" si="3"/>
        <v>2654059.5446863212</v>
      </c>
      <c r="E86" s="151">
        <f t="shared" si="4"/>
        <v>47709.416344315359</v>
      </c>
      <c r="F86" s="151">
        <f t="shared" si="5"/>
        <v>2727804.1117796609</v>
      </c>
    </row>
    <row r="87" spans="1:6" x14ac:dyDescent="0.3">
      <c r="B87" s="171">
        <f>'ULTA Q Rev (Acual)'!B80</f>
        <v>45378</v>
      </c>
      <c r="C87" s="2">
        <f>'ULTA Q Rev (Acual)'!C80</f>
        <v>3554298</v>
      </c>
      <c r="D87" s="151">
        <f t="shared" si="3"/>
        <v>2964962.7162105776</v>
      </c>
      <c r="E87" s="151">
        <f t="shared" si="4"/>
        <v>59580.579634761132</v>
      </c>
      <c r="F87" s="151">
        <f t="shared" si="5"/>
        <v>2701768.9610306364</v>
      </c>
    </row>
    <row r="88" spans="1:6" x14ac:dyDescent="0.3">
      <c r="B88" s="171">
        <f>'ULTA Q Rev (Acual)'!B81</f>
        <v>45441</v>
      </c>
      <c r="C88" s="2">
        <f>'ULTA Q Rev (Acual)'!C81</f>
        <v>2725848</v>
      </c>
      <c r="D88" s="151">
        <f t="shared" si="3"/>
        <v>2932329.7371574645</v>
      </c>
      <c r="E88" s="151">
        <f t="shared" si="4"/>
        <v>55421.354002570719</v>
      </c>
      <c r="F88" s="151">
        <f t="shared" si="5"/>
        <v>3024543.2958453386</v>
      </c>
    </row>
    <row r="89" spans="1:6" x14ac:dyDescent="0.3">
      <c r="B89" s="171">
        <f>'ULTA Q Rev (Acual)'!B82</f>
        <v>45532</v>
      </c>
      <c r="C89" s="2">
        <f>'ULTA Q Rev (Acual)'!C82</f>
        <v>2552087</v>
      </c>
      <c r="D89" s="151">
        <f t="shared" si="3"/>
        <v>2853252.3668842204</v>
      </c>
      <c r="E89" s="151">
        <f t="shared" si="4"/>
        <v>49354.886668863532</v>
      </c>
      <c r="F89" s="151">
        <f t="shared" si="5"/>
        <v>2987751.0911600352</v>
      </c>
    </row>
    <row r="90" spans="1:6" x14ac:dyDescent="0.3">
      <c r="B90" s="171">
        <f>'ULTA Q Rev (Acual)'!B83</f>
        <v>45631</v>
      </c>
      <c r="C90" s="2">
        <f>'ULTA Q Rev (Acual)'!C83</f>
        <v>2530100</v>
      </c>
      <c r="D90" s="151">
        <f t="shared" si="3"/>
        <v>2787606.3815441648</v>
      </c>
      <c r="E90" s="151">
        <f t="shared" si="4"/>
        <v>44167.855809304681</v>
      </c>
      <c r="F90" s="151">
        <f t="shared" si="5"/>
        <v>2902607.2535530841</v>
      </c>
    </row>
    <row r="91" spans="1:6" x14ac:dyDescent="0.3">
      <c r="B91" s="171">
        <f>'ULTA Q Rev (Acual)'!B84</f>
        <v>45743</v>
      </c>
      <c r="C91" s="2">
        <f>'ULTA Q Rev (Acual)'!C84</f>
        <v>3487619</v>
      </c>
      <c r="D91" s="151">
        <f t="shared" si="3"/>
        <v>3034247.3942851247</v>
      </c>
      <c r="E91" s="151">
        <f t="shared" si="4"/>
        <v>53300.260589290578</v>
      </c>
      <c r="F91" s="151">
        <f t="shared" si="5"/>
        <v>2831774.2373534697</v>
      </c>
    </row>
    <row r="92" spans="1:6" x14ac:dyDescent="0.3">
      <c r="B92" s="171">
        <f>'ULTA Q Rev (Acual)'!B85</f>
        <v>45806</v>
      </c>
      <c r="C92" s="2">
        <f>'ULTA Q Rev (Acual)'!C85</f>
        <v>2848367</v>
      </c>
      <c r="D92" s="151">
        <f t="shared" si="3"/>
        <v>3013707.5252773082</v>
      </c>
      <c r="E92" s="151">
        <f t="shared" si="4"/>
        <v>49969.755140042209</v>
      </c>
      <c r="F92" s="151">
        <f t="shared" si="5"/>
        <v>3087547.6548744151</v>
      </c>
    </row>
    <row r="93" spans="1:6" x14ac:dyDescent="0.3">
      <c r="B93" s="171">
        <f>'ULTA Q Rev (Acual)'!B86</f>
        <v>45897</v>
      </c>
      <c r="C93" s="2">
        <f>'ULTA Q Rev (Acual)'!C86</f>
        <v>2788469</v>
      </c>
      <c r="D93" s="151">
        <f t="shared" si="3"/>
        <v>2978714.6604141393</v>
      </c>
      <c r="E93" s="151">
        <f t="shared" si="4"/>
        <v>46137.577834191448</v>
      </c>
      <c r="F93" s="151">
        <f t="shared" si="5"/>
        <v>3063677.2804173506</v>
      </c>
    </row>
    <row r="94" spans="1:6" x14ac:dyDescent="0.3">
      <c r="B94" s="175">
        <f>'ULTA Q Rev (Acual)'!B87</f>
        <v>45995</v>
      </c>
      <c r="C94" s="14">
        <f>'ULTA Q Rev (Acual)'!C87</f>
        <v>2857623</v>
      </c>
      <c r="D94" s="153">
        <f t="shared" si="3"/>
        <v>2973225.0335683962</v>
      </c>
      <c r="E94" s="153">
        <f t="shared" si="4"/>
        <v>43808.970240269795</v>
      </c>
      <c r="F94" s="153">
        <f t="shared" si="5"/>
        <v>3024852.2382483305</v>
      </c>
    </row>
    <row r="95" spans="1:6" ht="15" x14ac:dyDescent="0.3">
      <c r="A95" s="107" t="s">
        <v>8</v>
      </c>
      <c r="B95" s="165">
        <v>46108</v>
      </c>
      <c r="F95" s="179">
        <f>$D$94+$E$94*(ROW()-ROW($F$94))</f>
        <v>3017034.003808666</v>
      </c>
    </row>
    <row r="96" spans="1:6" x14ac:dyDescent="0.3">
      <c r="B96" s="165">
        <v>46234</v>
      </c>
      <c r="F96" s="179">
        <f t="shared" ref="F96:F100" si="6">$D$94+$E$94*(ROW()-ROW($F$94))</f>
        <v>3060842.9740489358</v>
      </c>
    </row>
    <row r="97" spans="2:6" x14ac:dyDescent="0.3">
      <c r="B97" s="165">
        <v>46262</v>
      </c>
      <c r="F97" s="179">
        <f t="shared" si="6"/>
        <v>3104651.9442892056</v>
      </c>
    </row>
    <row r="98" spans="2:6" x14ac:dyDescent="0.3">
      <c r="B98" s="165">
        <v>46360</v>
      </c>
      <c r="F98" s="179">
        <f>$D$94+$E$94*(ROW()-ROW($F$94))</f>
        <v>3148460.9145294754</v>
      </c>
    </row>
    <row r="99" spans="2:6" x14ac:dyDescent="0.3">
      <c r="B99" s="165">
        <v>46473</v>
      </c>
      <c r="F99" s="179">
        <f t="shared" si="6"/>
        <v>3192269.8847697452</v>
      </c>
    </row>
    <row r="100" spans="2:6" x14ac:dyDescent="0.3">
      <c r="B100" s="178">
        <v>46599</v>
      </c>
      <c r="C100" s="16"/>
      <c r="D100" s="16"/>
      <c r="E100" s="16"/>
      <c r="F100" s="180">
        <f t="shared" si="6"/>
        <v>3236078.855010015</v>
      </c>
    </row>
    <row r="101" spans="2:6" x14ac:dyDescent="0.3">
      <c r="B101" s="3" t="s">
        <v>208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8A57C-E857-4BC6-87CE-AF9D3A3AA0FC}">
  <sheetPr>
    <tabColor rgb="FFFF9900"/>
  </sheetPr>
  <dimension ref="A1:M102"/>
  <sheetViews>
    <sheetView topLeftCell="J8" zoomScale="96" workbookViewId="0">
      <selection activeCell="I7" sqref="I7"/>
    </sheetView>
  </sheetViews>
  <sheetFormatPr defaultRowHeight="14" x14ac:dyDescent="0.3"/>
  <cols>
    <col min="1" max="1" width="11.1796875" customWidth="1"/>
    <col min="2" max="2" width="13.1796875" customWidth="1"/>
    <col min="3" max="3" width="14.26953125" customWidth="1"/>
    <col min="4" max="4" width="20.6328125" customWidth="1"/>
    <col min="5" max="5" width="13.90625" customWidth="1"/>
    <col min="6" max="6" width="13.08984375" customWidth="1"/>
    <col min="7" max="7" width="14.54296875" customWidth="1"/>
  </cols>
  <sheetData>
    <row r="1" spans="1:13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5" x14ac:dyDescent="0.3">
      <c r="A2" s="3"/>
      <c r="B2" s="111" t="s">
        <v>214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" x14ac:dyDescent="0.3">
      <c r="A4" s="3"/>
      <c r="B4" s="30" t="s">
        <v>110</v>
      </c>
      <c r="C4" s="27"/>
      <c r="D4" s="27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3"/>
      <c r="B5" s="6" t="s">
        <v>5</v>
      </c>
      <c r="C5" s="3"/>
      <c r="D5" s="184">
        <v>0.60592181948413282</v>
      </c>
      <c r="E5" s="122"/>
      <c r="F5" s="3"/>
      <c r="G5" s="3"/>
      <c r="H5" s="3"/>
      <c r="I5" s="3"/>
      <c r="J5" s="3"/>
      <c r="K5" s="3"/>
      <c r="L5" s="3"/>
      <c r="M5" s="3"/>
    </row>
    <row r="6" spans="1:13" x14ac:dyDescent="0.3">
      <c r="A6" s="3"/>
      <c r="B6" s="6" t="s">
        <v>9</v>
      </c>
      <c r="C6" s="3"/>
      <c r="D6" s="184">
        <v>5.072054676349156E-2</v>
      </c>
      <c r="E6" s="122"/>
      <c r="F6" s="3"/>
      <c r="G6" s="3"/>
      <c r="H6" s="3"/>
      <c r="I6" s="3"/>
      <c r="J6" s="3"/>
      <c r="K6" s="3"/>
      <c r="L6" s="3"/>
      <c r="M6" s="3"/>
    </row>
    <row r="7" spans="1:13" x14ac:dyDescent="0.3">
      <c r="A7" s="3"/>
      <c r="B7" s="6" t="s">
        <v>11</v>
      </c>
      <c r="C7" s="3"/>
      <c r="D7" s="184">
        <v>1</v>
      </c>
      <c r="E7" s="123"/>
      <c r="F7" s="3"/>
      <c r="G7" s="3"/>
      <c r="H7" s="3"/>
      <c r="I7" s="3"/>
      <c r="J7" s="3"/>
      <c r="K7" s="3"/>
      <c r="L7" s="3"/>
      <c r="M7" s="3"/>
    </row>
    <row r="8" spans="1:13" x14ac:dyDescent="0.3">
      <c r="A8" s="3"/>
      <c r="B8" s="6" t="s">
        <v>101</v>
      </c>
      <c r="C8" s="3"/>
      <c r="D8" s="185">
        <f>SUMXMY2(C17:C95,G17:G95)/COUNT(C17:C95)</f>
        <v>17237241750.22942</v>
      </c>
      <c r="E8" s="36"/>
      <c r="F8" s="3"/>
      <c r="G8" s="3"/>
      <c r="H8" s="3"/>
      <c r="I8" s="3"/>
      <c r="J8" s="3"/>
      <c r="K8" s="3"/>
      <c r="L8" s="3"/>
      <c r="M8" s="3"/>
    </row>
    <row r="9" spans="1:13" x14ac:dyDescent="0.3">
      <c r="A9" s="3"/>
      <c r="B9" s="6" t="s">
        <v>102</v>
      </c>
      <c r="C9" s="3"/>
      <c r="D9" s="186" cm="1">
        <f t="array" ref="D9">AVERAGE(ABS(C17:C95-G17:G95)/C17:C95)</f>
        <v>6.4171439891743065E-2</v>
      </c>
      <c r="E9" s="36"/>
      <c r="F9" s="3"/>
      <c r="G9" s="3"/>
      <c r="H9" s="3"/>
      <c r="I9" s="3"/>
      <c r="J9" s="3"/>
      <c r="K9" s="3"/>
      <c r="L9" s="3"/>
      <c r="M9" s="3"/>
    </row>
    <row r="10" spans="1:13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5" x14ac:dyDescent="0.3">
      <c r="A11" s="3"/>
      <c r="B11" s="30" t="s">
        <v>109</v>
      </c>
      <c r="C11" s="27"/>
      <c r="D11" s="27"/>
      <c r="E11" s="27"/>
      <c r="F11" s="27"/>
      <c r="G11" s="27"/>
      <c r="H11" s="3"/>
      <c r="I11" s="3"/>
      <c r="J11" s="3"/>
      <c r="K11" s="3"/>
      <c r="L11" s="3"/>
      <c r="M11" s="3"/>
    </row>
    <row r="12" spans="1:13" x14ac:dyDescent="0.3">
      <c r="A12" s="3"/>
      <c r="B12" s="187" t="s">
        <v>0</v>
      </c>
      <c r="C12" s="187" t="s">
        <v>103</v>
      </c>
      <c r="D12" s="20" t="s">
        <v>121</v>
      </c>
      <c r="E12" s="48" t="s">
        <v>7</v>
      </c>
      <c r="F12" s="48" t="s">
        <v>10</v>
      </c>
      <c r="G12" s="48" t="s">
        <v>8</v>
      </c>
      <c r="H12" s="3"/>
      <c r="I12" s="3"/>
      <c r="J12" s="3"/>
      <c r="K12" s="3"/>
      <c r="L12" s="3"/>
      <c r="M12" s="3"/>
    </row>
    <row r="13" spans="1:13" x14ac:dyDescent="0.3">
      <c r="A13" s="6" t="s">
        <v>97</v>
      </c>
      <c r="B13" s="182">
        <f>'ULTA Q Rev (Acual)'!B5</f>
        <v>38472</v>
      </c>
      <c r="C13" s="183">
        <f>'ULTA Q Rev (Acual)'!C5</f>
        <v>144769</v>
      </c>
      <c r="D13" s="157"/>
      <c r="E13" s="157"/>
      <c r="F13" s="157">
        <f>C13-$D$16</f>
        <v>0.25</v>
      </c>
      <c r="G13" s="157"/>
      <c r="H13" s="36"/>
      <c r="I13" s="36"/>
      <c r="J13" s="36"/>
      <c r="K13" s="36"/>
      <c r="L13" s="3"/>
      <c r="M13" s="3"/>
    </row>
    <row r="14" spans="1:13" x14ac:dyDescent="0.3">
      <c r="A14" s="3"/>
      <c r="B14" s="182">
        <f>'ULTA Q Rev (Acual)'!B6</f>
        <v>38564</v>
      </c>
      <c r="C14" s="183">
        <f>'ULTA Q Rev (Acual)'!C6</f>
        <v>144769</v>
      </c>
      <c r="D14" s="157"/>
      <c r="E14" s="157"/>
      <c r="F14" s="157">
        <f t="shared" ref="F14:F16" si="0">C14-$D$16</f>
        <v>0.25</v>
      </c>
      <c r="G14" s="157"/>
      <c r="H14" s="36"/>
      <c r="I14" s="36"/>
      <c r="J14" s="36"/>
      <c r="K14" s="36"/>
      <c r="L14" s="3"/>
      <c r="M14" s="3"/>
    </row>
    <row r="15" spans="1:13" x14ac:dyDescent="0.3">
      <c r="A15" s="3"/>
      <c r="B15" s="182">
        <f>'ULTA Q Rev (Acual)'!B7</f>
        <v>38656</v>
      </c>
      <c r="C15" s="183">
        <f>'ULTA Q Rev (Acual)'!C7</f>
        <v>144769</v>
      </c>
      <c r="D15" s="157"/>
      <c r="E15" s="157"/>
      <c r="F15" s="157">
        <f t="shared" si="0"/>
        <v>0.25</v>
      </c>
      <c r="G15" s="157"/>
      <c r="H15" s="36"/>
      <c r="I15" s="36"/>
      <c r="J15" s="36"/>
      <c r="K15" s="36"/>
      <c r="L15" s="3"/>
      <c r="M15" s="3"/>
    </row>
    <row r="16" spans="1:13" x14ac:dyDescent="0.3">
      <c r="A16" s="3"/>
      <c r="B16" s="182">
        <f>'ULTA Q Rev (Acual)'!B8</f>
        <v>38748</v>
      </c>
      <c r="C16" s="183">
        <f>'ULTA Q Rev (Acual)'!C8</f>
        <v>144768</v>
      </c>
      <c r="D16" s="157">
        <f>AVERAGE(C13:C16)</f>
        <v>144768.75</v>
      </c>
      <c r="E16" s="157"/>
      <c r="F16" s="157">
        <f t="shared" si="0"/>
        <v>-0.75</v>
      </c>
      <c r="G16" s="157"/>
      <c r="H16" s="36"/>
      <c r="I16" s="36"/>
      <c r="J16" s="36"/>
      <c r="K16" s="36"/>
      <c r="L16" s="3"/>
      <c r="M16" s="3"/>
    </row>
    <row r="17" spans="1:13" x14ac:dyDescent="0.3">
      <c r="A17" s="3"/>
      <c r="B17" s="182">
        <f>'ULTA Q Rev (Acual)'!B9</f>
        <v>38837</v>
      </c>
      <c r="C17" s="183">
        <f>'ULTA Q Rev (Acual)'!C9</f>
        <v>159468</v>
      </c>
      <c r="D17" s="157">
        <f>$D$5*(C17-F13)+(1-$D$5)*(D16+E16)</f>
        <v>153675.19482459727</v>
      </c>
      <c r="E17" s="157">
        <f>$D$6*(D17-D16)+(1-$D$6)*E16</f>
        <v>451.73975122244343</v>
      </c>
      <c r="F17" s="157">
        <f>$D$7*(C17-D17)+(1-$D$7)*F13</f>
        <v>5792.8051754027256</v>
      </c>
      <c r="G17" s="157">
        <f>D16+E16+F13</f>
        <v>144769</v>
      </c>
      <c r="H17" s="36"/>
      <c r="I17" s="36"/>
      <c r="J17" s="36"/>
      <c r="K17" s="36"/>
      <c r="L17" s="3"/>
      <c r="M17" s="3"/>
    </row>
    <row r="18" spans="1:13" x14ac:dyDescent="0.3">
      <c r="A18" s="3"/>
      <c r="B18" s="182">
        <f>'ULTA Q Rev (Acual)'!B10</f>
        <v>38929</v>
      </c>
      <c r="C18" s="183">
        <f>'ULTA Q Rev (Acual)'!C10</f>
        <v>162558</v>
      </c>
      <c r="D18" s="157">
        <f t="shared" ref="D18:D81" si="1">$D$5*(C18-F14)+(1-$D$5)*(D17+E17)</f>
        <v>159235.34959737392</v>
      </c>
      <c r="E18" s="157">
        <f t="shared" ref="E18:E81" si="2">$D$6*(D18-D17)+(1-$D$6)*E17</f>
        <v>710.8413542105061</v>
      </c>
      <c r="F18" s="157">
        <f t="shared" ref="F18:F81" si="3">$D$7*(C18-D18)+(1-$D$7)*F14</f>
        <v>3322.6504026260809</v>
      </c>
      <c r="G18" s="157">
        <f t="shared" ref="G18:G81" si="4">D17+E17+F14</f>
        <v>154127.18457581973</v>
      </c>
      <c r="H18" s="36"/>
      <c r="I18" s="36"/>
      <c r="J18" s="36"/>
      <c r="K18" s="36"/>
      <c r="L18" s="3"/>
      <c r="M18" s="3"/>
    </row>
    <row r="19" spans="1:13" x14ac:dyDescent="0.3">
      <c r="A19" s="3"/>
      <c r="B19" s="182">
        <f>'ULTA Q Rev (Acual)'!B11</f>
        <v>39021</v>
      </c>
      <c r="C19" s="183">
        <f>'ULTA Q Rev (Acual)'!C11</f>
        <v>216544</v>
      </c>
      <c r="D19" s="157">
        <f t="shared" si="1"/>
        <v>194239.88690856105</v>
      </c>
      <c r="E19" s="157">
        <f t="shared" si="2"/>
        <v>2450.2363636893006</v>
      </c>
      <c r="F19" s="157">
        <f t="shared" si="3"/>
        <v>22304.113091438951</v>
      </c>
      <c r="G19" s="157">
        <f t="shared" si="4"/>
        <v>159946.44095158443</v>
      </c>
      <c r="H19" s="36"/>
      <c r="I19" s="36"/>
      <c r="J19" s="36"/>
      <c r="K19" s="36"/>
      <c r="L19" s="3"/>
      <c r="M19" s="3"/>
    </row>
    <row r="20" spans="1:13" x14ac:dyDescent="0.3">
      <c r="A20" s="3"/>
      <c r="B20" s="182">
        <f>'ULTA Q Rev (Acual)'!B12</f>
        <v>39113</v>
      </c>
      <c r="C20" s="183">
        <f>'ULTA Q Rev (Acual)'!C12</f>
        <v>216543</v>
      </c>
      <c r="D20" s="157">
        <f t="shared" si="1"/>
        <v>208719.86890248724</v>
      </c>
      <c r="E20" s="157">
        <f t="shared" si="2"/>
        <v>3060.3916394806392</v>
      </c>
      <c r="F20" s="157">
        <f t="shared" si="3"/>
        <v>7823.1310975127562</v>
      </c>
      <c r="G20" s="157">
        <f t="shared" si="4"/>
        <v>196689.37327225035</v>
      </c>
      <c r="H20" s="36"/>
      <c r="I20" s="3"/>
      <c r="J20" s="3"/>
      <c r="K20" s="3"/>
      <c r="L20" s="3"/>
      <c r="M20" s="3"/>
    </row>
    <row r="21" spans="1:13" x14ac:dyDescent="0.3">
      <c r="A21" s="3"/>
      <c r="B21" s="182">
        <f>'ULTA Q Rev (Acual)'!B13</f>
        <v>39202</v>
      </c>
      <c r="C21" s="183">
        <f>'ULTA Q Rev (Acual)'!C13</f>
        <v>194113</v>
      </c>
      <c r="D21" s="157">
        <f t="shared" si="1"/>
        <v>197565.29483728134</v>
      </c>
      <c r="E21" s="157">
        <f t="shared" si="2"/>
        <v>2339.4008067146569</v>
      </c>
      <c r="F21" s="157">
        <f t="shared" si="3"/>
        <v>-3452.2948372813407</v>
      </c>
      <c r="G21" s="157">
        <f t="shared" si="4"/>
        <v>217573.0657173706</v>
      </c>
      <c r="H21" s="36"/>
      <c r="I21" s="3"/>
      <c r="J21" s="3"/>
      <c r="K21" s="3"/>
      <c r="L21" s="3"/>
      <c r="M21" s="3"/>
    </row>
    <row r="22" spans="1:13" x14ac:dyDescent="0.3">
      <c r="A22" s="3"/>
      <c r="B22" s="182">
        <f>'ULTA Q Rev (Acual)'!B14</f>
        <v>39293</v>
      </c>
      <c r="C22" s="183">
        <f>'ULTA Q Rev (Acual)'!C14</f>
        <v>200449</v>
      </c>
      <c r="D22" s="157">
        <f t="shared" si="1"/>
        <v>198221.23515227018</v>
      </c>
      <c r="E22" s="157">
        <f t="shared" si="2"/>
        <v>2254.014770119587</v>
      </c>
      <c r="F22" s="157">
        <f t="shared" si="3"/>
        <v>2227.7648477298208</v>
      </c>
      <c r="G22" s="157">
        <f t="shared" si="4"/>
        <v>203227.34604662209</v>
      </c>
      <c r="H22" s="36"/>
      <c r="I22" s="3"/>
      <c r="J22" s="3"/>
      <c r="K22" s="3"/>
      <c r="L22" s="3"/>
      <c r="M22" s="3"/>
    </row>
    <row r="23" spans="1:13" x14ac:dyDescent="0.3">
      <c r="A23" s="3"/>
      <c r="B23" s="182">
        <f>'ULTA Q Rev (Acual)'!B15</f>
        <v>39386</v>
      </c>
      <c r="C23" s="183">
        <f>'ULTA Q Rev (Acual)'!C15</f>
        <v>208235</v>
      </c>
      <c r="D23" s="157">
        <f t="shared" si="1"/>
        <v>191662.50302181294</v>
      </c>
      <c r="E23" s="157">
        <f t="shared" si="2"/>
        <v>1807.0274288340647</v>
      </c>
      <c r="F23" s="157">
        <f t="shared" si="3"/>
        <v>16572.49697818706</v>
      </c>
      <c r="G23" s="157">
        <f t="shared" si="4"/>
        <v>222779.36301382873</v>
      </c>
      <c r="H23" s="36"/>
      <c r="I23" s="3"/>
      <c r="J23" s="3"/>
      <c r="K23" s="3"/>
      <c r="L23" s="3"/>
      <c r="M23" s="3"/>
    </row>
    <row r="24" spans="1:13" x14ac:dyDescent="0.3">
      <c r="A24" s="3"/>
      <c r="B24" s="182">
        <f>'ULTA Q Rev (Acual)'!B16</f>
        <v>39478</v>
      </c>
      <c r="C24" s="183">
        <f>'ULTA Q Rev (Acual)'!C16</f>
        <v>309344</v>
      </c>
      <c r="D24" s="157">
        <f t="shared" si="1"/>
        <v>258940.19404308186</v>
      </c>
      <c r="E24" s="157">
        <f t="shared" si="2"/>
        <v>5127.7352832109818</v>
      </c>
      <c r="F24" s="157">
        <f t="shared" si="3"/>
        <v>50403.805956918135</v>
      </c>
      <c r="G24" s="157">
        <f t="shared" si="4"/>
        <v>201292.66154815975</v>
      </c>
      <c r="H24" s="36"/>
      <c r="I24" s="3"/>
      <c r="J24" s="3"/>
      <c r="K24" s="3"/>
      <c r="L24" s="3"/>
      <c r="M24" s="3"/>
    </row>
    <row r="25" spans="1:13" x14ac:dyDescent="0.3">
      <c r="A25" s="3"/>
      <c r="B25" s="182">
        <f>'ULTA Q Rev (Acual)'!B17</f>
        <v>39568</v>
      </c>
      <c r="C25" s="183">
        <f>'ULTA Q Rev (Acual)'!C17</f>
        <v>239298</v>
      </c>
      <c r="D25" s="157">
        <f t="shared" si="1"/>
        <v>251151.10944961329</v>
      </c>
      <c r="E25" s="157">
        <f t="shared" si="2"/>
        <v>4472.5871166202587</v>
      </c>
      <c r="F25" s="157">
        <f t="shared" si="3"/>
        <v>-11853.109449613286</v>
      </c>
      <c r="G25" s="157">
        <f t="shared" si="4"/>
        <v>260615.63448901149</v>
      </c>
      <c r="H25" s="36"/>
      <c r="I25" s="3"/>
      <c r="J25" s="3"/>
      <c r="K25" s="3"/>
      <c r="L25" s="3"/>
      <c r="M25" s="3"/>
    </row>
    <row r="26" spans="1:13" x14ac:dyDescent="0.3">
      <c r="A26" s="3"/>
      <c r="B26" s="182">
        <f>'ULTA Q Rev (Acual)'!B18</f>
        <v>39660</v>
      </c>
      <c r="C26" s="183">
        <f>'ULTA Q Rev (Acual)'!C18</f>
        <v>249111</v>
      </c>
      <c r="D26" s="157">
        <f t="shared" si="1"/>
        <v>250327.66028315402</v>
      </c>
      <c r="E26" s="157">
        <f t="shared" si="2"/>
        <v>4203.9692606631752</v>
      </c>
      <c r="F26" s="157">
        <f t="shared" si="3"/>
        <v>-1216.6602831540222</v>
      </c>
      <c r="G26" s="157">
        <f t="shared" si="4"/>
        <v>257851.46141396338</v>
      </c>
      <c r="H26" s="36"/>
      <c r="I26" s="3"/>
      <c r="J26" s="3"/>
      <c r="K26" s="3"/>
      <c r="L26" s="3"/>
      <c r="M26" s="3"/>
    </row>
    <row r="27" spans="1:13" x14ac:dyDescent="0.3">
      <c r="A27" s="3"/>
      <c r="B27" s="182">
        <f>'ULTA Q Rev (Acual)'!B19</f>
        <v>39752</v>
      </c>
      <c r="C27" s="183">
        <f>'ULTA Q Rev (Acual)'!C19</f>
        <v>254843</v>
      </c>
      <c r="D27" s="157">
        <f t="shared" si="1"/>
        <v>244678.65817474271</v>
      </c>
      <c r="E27" s="157">
        <f t="shared" si="2"/>
        <v>3704.2211655786891</v>
      </c>
      <c r="F27" s="157">
        <f t="shared" si="3"/>
        <v>10164.341825257288</v>
      </c>
      <c r="G27" s="157">
        <f t="shared" si="4"/>
        <v>271104.12652200426</v>
      </c>
      <c r="H27" s="36"/>
      <c r="I27" s="3"/>
      <c r="J27" s="3"/>
      <c r="K27" s="3"/>
      <c r="L27" s="3"/>
      <c r="M27" s="3"/>
    </row>
    <row r="28" spans="1:13" x14ac:dyDescent="0.3">
      <c r="A28" s="3"/>
      <c r="B28" s="182">
        <f>'ULTA Q Rev (Acual)'!B20</f>
        <v>39844</v>
      </c>
      <c r="C28" s="183">
        <f>'ULTA Q Rev (Acual)'!C20</f>
        <v>341394</v>
      </c>
      <c r="D28" s="157">
        <f t="shared" si="1"/>
        <v>274199.58098835102</v>
      </c>
      <c r="E28" s="157">
        <f t="shared" si="2"/>
        <v>5013.6583887966854</v>
      </c>
      <c r="F28" s="157">
        <f t="shared" si="3"/>
        <v>67194.419011648977</v>
      </c>
      <c r="G28" s="157">
        <f t="shared" si="4"/>
        <v>298786.68529723957</v>
      </c>
      <c r="H28" s="36"/>
      <c r="I28" s="3"/>
      <c r="J28" s="3"/>
      <c r="K28" s="3"/>
      <c r="L28" s="3"/>
      <c r="M28" s="3"/>
    </row>
    <row r="29" spans="1:13" x14ac:dyDescent="0.3">
      <c r="A29" s="3"/>
      <c r="B29" s="182">
        <f>'ULTA Q Rev (Acual)'!B21</f>
        <v>39933</v>
      </c>
      <c r="C29" s="183">
        <f>'ULTA Q Rev (Acual)'!C21</f>
        <v>268825</v>
      </c>
      <c r="D29" s="157">
        <f t="shared" si="1"/>
        <v>280100.83611676388</v>
      </c>
      <c r="E29" s="157">
        <f t="shared" si="2"/>
        <v>5058.6777807355102</v>
      </c>
      <c r="F29" s="157">
        <f t="shared" si="3"/>
        <v>-11275.83611676388</v>
      </c>
      <c r="G29" s="157">
        <f t="shared" si="4"/>
        <v>267360.12992753438</v>
      </c>
      <c r="H29" s="36"/>
      <c r="I29" s="3"/>
      <c r="J29" s="3"/>
      <c r="K29" s="3"/>
      <c r="L29" s="3"/>
      <c r="M29" s="3"/>
    </row>
    <row r="30" spans="1:13" x14ac:dyDescent="0.3">
      <c r="A30" s="3"/>
      <c r="B30" s="182">
        <f>'ULTA Q Rev (Acual)'!B22</f>
        <v>40025</v>
      </c>
      <c r="C30" s="183">
        <f>'ULTA Q Rev (Acual)'!C22</f>
        <v>273539</v>
      </c>
      <c r="D30" s="157">
        <f t="shared" si="1"/>
        <v>278855.59198584867</v>
      </c>
      <c r="E30" s="157">
        <f t="shared" si="2"/>
        <v>4738.9394146222312</v>
      </c>
      <c r="F30" s="157">
        <f t="shared" si="3"/>
        <v>-5316.5919858486741</v>
      </c>
      <c r="G30" s="157">
        <f t="shared" si="4"/>
        <v>283942.85361434543</v>
      </c>
      <c r="H30" s="36"/>
      <c r="I30" s="3"/>
      <c r="J30" s="3"/>
      <c r="K30" s="3"/>
      <c r="L30" s="3"/>
      <c r="M30" s="3"/>
    </row>
    <row r="31" spans="1:13" x14ac:dyDescent="0.3">
      <c r="A31" s="3"/>
      <c r="B31" s="182">
        <f>'ULTA Q Rev (Acual)'!B23</f>
        <v>40117</v>
      </c>
      <c r="C31" s="183">
        <f>'ULTA Q Rev (Acual)'!C23</f>
        <v>284043</v>
      </c>
      <c r="D31" s="157">
        <f t="shared" si="1"/>
        <v>277707.47181766049</v>
      </c>
      <c r="E31" s="157">
        <f t="shared" si="2"/>
        <v>4440.3445337528346</v>
      </c>
      <c r="F31" s="157">
        <f t="shared" si="3"/>
        <v>6335.5281823395053</v>
      </c>
      <c r="G31" s="157">
        <f t="shared" si="4"/>
        <v>293758.87322572817</v>
      </c>
      <c r="H31" s="36"/>
      <c r="I31" s="3"/>
      <c r="J31" s="3"/>
      <c r="K31" s="3"/>
      <c r="L31" s="3"/>
      <c r="M31" s="3"/>
    </row>
    <row r="32" spans="1:13" x14ac:dyDescent="0.3">
      <c r="A32" s="3"/>
      <c r="B32" s="182">
        <f>'ULTA Q Rev (Acual)'!B24</f>
        <v>40209</v>
      </c>
      <c r="C32" s="183">
        <f>'ULTA Q Rev (Acual)'!C24</f>
        <v>396364</v>
      </c>
      <c r="D32" s="157">
        <f t="shared" si="1"/>
        <v>310639.32953558129</v>
      </c>
      <c r="E32" s="157">
        <f t="shared" si="2"/>
        <v>5885.4496605730619</v>
      </c>
      <c r="F32" s="157">
        <f t="shared" si="3"/>
        <v>85724.670464418712</v>
      </c>
      <c r="G32" s="157">
        <f t="shared" si="4"/>
        <v>349342.2353630623</v>
      </c>
      <c r="H32" s="36"/>
      <c r="I32" s="3"/>
      <c r="J32" s="3"/>
      <c r="K32" s="3"/>
      <c r="L32" s="3"/>
      <c r="M32" s="3"/>
    </row>
    <row r="33" spans="1:13" x14ac:dyDescent="0.3">
      <c r="A33" s="3"/>
      <c r="B33" s="182">
        <f>'ULTA Q Rev (Acual)'!B25</f>
        <v>40298</v>
      </c>
      <c r="C33" s="183">
        <f>'ULTA Q Rev (Acual)'!C25</f>
        <v>320196</v>
      </c>
      <c r="D33" s="157">
        <f t="shared" si="1"/>
        <v>325581.52712142293</v>
      </c>
      <c r="E33" s="157">
        <f t="shared" si="2"/>
        <v>6344.8128672418025</v>
      </c>
      <c r="F33" s="157">
        <f t="shared" si="3"/>
        <v>-5385.5271214229288</v>
      </c>
      <c r="G33" s="157">
        <f t="shared" si="4"/>
        <v>305248.94307939045</v>
      </c>
      <c r="H33" s="36"/>
      <c r="I33" s="3"/>
      <c r="J33" s="3"/>
      <c r="K33" s="3"/>
      <c r="L33" s="3"/>
      <c r="M33" s="3"/>
    </row>
    <row r="34" spans="1:13" x14ac:dyDescent="0.3">
      <c r="A34" s="3"/>
      <c r="B34" s="182">
        <f>'ULTA Q Rev (Acual)'!B26</f>
        <v>40390</v>
      </c>
      <c r="C34" s="183">
        <f>'ULTA Q Rev (Acual)'!C26</f>
        <v>321804</v>
      </c>
      <c r="D34" s="157">
        <f t="shared" si="1"/>
        <v>329014.43241481623</v>
      </c>
      <c r="E34" s="157">
        <f t="shared" si="2"/>
        <v>6197.1193229714545</v>
      </c>
      <c r="F34" s="157">
        <f t="shared" si="3"/>
        <v>-7210.4324148162268</v>
      </c>
      <c r="G34" s="157">
        <f t="shared" si="4"/>
        <v>326609.74800281605</v>
      </c>
      <c r="H34" s="36"/>
      <c r="I34" s="3"/>
      <c r="J34" s="3"/>
      <c r="K34" s="3"/>
      <c r="L34" s="3"/>
      <c r="M34" s="3"/>
    </row>
    <row r="35" spans="1:13" x14ac:dyDescent="0.3">
      <c r="A35" s="3"/>
      <c r="B35" s="182">
        <f>'ULTA Q Rev (Acual)'!B27</f>
        <v>40482</v>
      </c>
      <c r="C35" s="183">
        <f>'ULTA Q Rev (Acual)'!C27</f>
        <v>339179</v>
      </c>
      <c r="D35" s="157">
        <f t="shared" si="1"/>
        <v>333776.6804439004</v>
      </c>
      <c r="E35" s="157">
        <f t="shared" si="2"/>
        <v>6124.3418664102528</v>
      </c>
      <c r="F35" s="157">
        <f t="shared" si="3"/>
        <v>5402.3195560995955</v>
      </c>
      <c r="G35" s="157">
        <f t="shared" si="4"/>
        <v>341547.07992012717</v>
      </c>
      <c r="H35" s="36"/>
      <c r="I35" s="3"/>
      <c r="J35" s="3"/>
      <c r="K35" s="3"/>
      <c r="L35" s="3"/>
      <c r="M35" s="3"/>
    </row>
    <row r="36" spans="1:13" x14ac:dyDescent="0.3">
      <c r="A36" s="3"/>
      <c r="B36" s="182">
        <f>'ULTA Q Rev (Acual)'!B28</f>
        <v>40574</v>
      </c>
      <c r="C36" s="183">
        <f>'ULTA Q Rev (Acual)'!C28</f>
        <v>473659</v>
      </c>
      <c r="D36" s="157">
        <f t="shared" si="1"/>
        <v>369005.45122008701</v>
      </c>
      <c r="E36" s="157">
        <f t="shared" si="2"/>
        <v>7600.5344139532799</v>
      </c>
      <c r="F36" s="157">
        <f t="shared" si="3"/>
        <v>104653.54877991299</v>
      </c>
      <c r="G36" s="157">
        <f t="shared" si="4"/>
        <v>425625.6927747294</v>
      </c>
      <c r="H36" s="36"/>
      <c r="I36" s="3"/>
      <c r="J36" s="3"/>
      <c r="K36" s="3"/>
      <c r="L36" s="3"/>
      <c r="M36" s="3"/>
    </row>
    <row r="37" spans="1:13" x14ac:dyDescent="0.3">
      <c r="A37" s="3"/>
      <c r="B37" s="182">
        <f>'ULTA Q Rev (Acual)'!B29</f>
        <v>40663</v>
      </c>
      <c r="C37" s="183">
        <f>'ULTA Q Rev (Acual)'!C29</f>
        <v>386006</v>
      </c>
      <c r="D37" s="157">
        <f t="shared" si="1"/>
        <v>385564.86783413333</v>
      </c>
      <c r="E37" s="157">
        <f t="shared" si="2"/>
        <v>8054.9338175317107</v>
      </c>
      <c r="F37" s="157">
        <f t="shared" si="3"/>
        <v>441.13216586667113</v>
      </c>
      <c r="G37" s="157">
        <f t="shared" si="4"/>
        <v>371220.45851261733</v>
      </c>
      <c r="H37" s="36"/>
      <c r="I37" s="3"/>
      <c r="J37" s="3"/>
      <c r="K37" s="3"/>
      <c r="L37" s="3"/>
      <c r="M37" s="3"/>
    </row>
    <row r="38" spans="1:13" x14ac:dyDescent="0.3">
      <c r="A38" s="3"/>
      <c r="B38" s="182">
        <f>'ULTA Q Rev (Acual)'!B30</f>
        <v>40755</v>
      </c>
      <c r="C38" s="183">
        <f>'ULTA Q Rev (Acual)'!C30</f>
        <v>394567</v>
      </c>
      <c r="D38" s="157">
        <f t="shared" si="1"/>
        <v>398562.68812635331</v>
      </c>
      <c r="E38" s="157">
        <f t="shared" si="2"/>
        <v>8305.6397221177667</v>
      </c>
      <c r="F38" s="157">
        <f t="shared" si="3"/>
        <v>-3995.6881263533141</v>
      </c>
      <c r="G38" s="157">
        <f t="shared" si="4"/>
        <v>386409.36923684884</v>
      </c>
      <c r="H38" s="36"/>
      <c r="I38" s="3"/>
      <c r="J38" s="3"/>
      <c r="K38" s="3"/>
      <c r="L38" s="3"/>
      <c r="M38" s="3"/>
    </row>
    <row r="39" spans="1:13" x14ac:dyDescent="0.3">
      <c r="A39" s="3"/>
      <c r="B39" s="182">
        <f>'ULTA Q Rev (Acual)'!B31</f>
        <v>40847</v>
      </c>
      <c r="C39" s="183">
        <f>'ULTA Q Rev (Acual)'!C31</f>
        <v>413067</v>
      </c>
      <c r="D39" s="157">
        <f t="shared" si="1"/>
        <v>407350.85526204453</v>
      </c>
      <c r="E39" s="157">
        <f t="shared" si="2"/>
        <v>8330.1137763625848</v>
      </c>
      <c r="F39" s="157">
        <f t="shared" si="3"/>
        <v>5716.1447379554738</v>
      </c>
      <c r="G39" s="157">
        <f t="shared" si="4"/>
        <v>412270.64740457066</v>
      </c>
      <c r="H39" s="36"/>
      <c r="I39" s="3"/>
      <c r="J39" s="3"/>
      <c r="K39" s="3"/>
      <c r="L39" s="3"/>
      <c r="M39" s="3"/>
    </row>
    <row r="40" spans="1:13" x14ac:dyDescent="0.3">
      <c r="A40" s="3"/>
      <c r="B40" s="182">
        <f>'ULTA Q Rev (Acual)'!B32</f>
        <v>40939</v>
      </c>
      <c r="C40" s="183">
        <f>'ULTA Q Rev (Acual)'!C32</f>
        <v>582511</v>
      </c>
      <c r="D40" s="157">
        <f t="shared" si="1"/>
        <v>453355.05625105335</v>
      </c>
      <c r="E40" s="157">
        <f t="shared" si="2"/>
        <v>10240.964078603467</v>
      </c>
      <c r="F40" s="157">
        <f t="shared" si="3"/>
        <v>129155.94374894665</v>
      </c>
      <c r="G40" s="157">
        <f t="shared" si="4"/>
        <v>520334.51781832008</v>
      </c>
      <c r="H40" s="36"/>
      <c r="I40" s="36"/>
      <c r="J40" s="36"/>
      <c r="K40" s="36"/>
      <c r="L40" s="3"/>
      <c r="M40" s="3"/>
    </row>
    <row r="41" spans="1:13" x14ac:dyDescent="0.3">
      <c r="A41" s="3"/>
      <c r="B41" s="182">
        <f>'ULTA Q Rev (Acual)'!B33</f>
        <v>41029</v>
      </c>
      <c r="C41" s="183">
        <f>'ULTA Q Rev (Acual)'!C33</f>
        <v>474098</v>
      </c>
      <c r="D41" s="157">
        <f t="shared" si="1"/>
        <v>469692.10735512164</v>
      </c>
      <c r="E41" s="157">
        <f t="shared" si="2"/>
        <v>10550.160945652869</v>
      </c>
      <c r="F41" s="157">
        <f t="shared" si="3"/>
        <v>4405.8926448783604</v>
      </c>
      <c r="G41" s="157">
        <f t="shared" si="4"/>
        <v>464037.15249552351</v>
      </c>
      <c r="H41" s="36"/>
      <c r="I41" s="36"/>
      <c r="J41" s="36"/>
      <c r="K41" s="36"/>
      <c r="L41" s="3"/>
      <c r="M41" s="3"/>
    </row>
    <row r="42" spans="1:13" x14ac:dyDescent="0.3">
      <c r="A42" s="3"/>
      <c r="B42" s="182">
        <f>'ULTA Q Rev (Acual)'!B34</f>
        <v>41121</v>
      </c>
      <c r="C42" s="183">
        <f>'ULTA Q Rev (Acual)'!C34</f>
        <v>481683</v>
      </c>
      <c r="D42" s="157">
        <f t="shared" si="1"/>
        <v>483536.31369296886</v>
      </c>
      <c r="E42" s="157">
        <f t="shared" si="2"/>
        <v>10717.236729008728</v>
      </c>
      <c r="F42" s="157">
        <f t="shared" si="3"/>
        <v>-1853.3136929688626</v>
      </c>
      <c r="G42" s="157">
        <f t="shared" si="4"/>
        <v>476246.58017442119</v>
      </c>
      <c r="H42" s="36"/>
      <c r="I42" s="36"/>
      <c r="J42" s="36"/>
      <c r="K42" s="36"/>
      <c r="L42" s="3"/>
      <c r="M42" s="3"/>
    </row>
    <row r="43" spans="1:13" x14ac:dyDescent="0.3">
      <c r="A43" s="3"/>
      <c r="B43" s="182">
        <f>'ULTA Q Rev (Acual)'!B35</f>
        <v>41213</v>
      </c>
      <c r="C43" s="183">
        <f>'ULTA Q Rev (Acual)'!C35</f>
        <v>505640</v>
      </c>
      <c r="D43" s="157">
        <f t="shared" si="1"/>
        <v>497689.31184770062</v>
      </c>
      <c r="E43" s="157">
        <f t="shared" si="2"/>
        <v>10891.500427070312</v>
      </c>
      <c r="F43" s="157">
        <f t="shared" si="3"/>
        <v>7950.688152299379</v>
      </c>
      <c r="G43" s="157">
        <f t="shared" si="4"/>
        <v>499969.69515993306</v>
      </c>
      <c r="H43" s="36"/>
      <c r="I43" s="36"/>
      <c r="J43" s="36"/>
      <c r="K43" s="36"/>
      <c r="L43" s="3"/>
      <c r="M43" s="3"/>
    </row>
    <row r="44" spans="1:13" x14ac:dyDescent="0.3">
      <c r="A44" s="3"/>
      <c r="B44" s="182">
        <f>'ULTA Q Rev (Acual)'!B36</f>
        <v>41365</v>
      </c>
      <c r="C44" s="183">
        <f>'ULTA Q Rev (Acual)'!C36</f>
        <v>758835</v>
      </c>
      <c r="D44" s="157">
        <f t="shared" si="1"/>
        <v>581956.88060121343</v>
      </c>
      <c r="E44" s="157">
        <f t="shared" si="2"/>
        <v>14613.174731942792</v>
      </c>
      <c r="F44" s="157">
        <f t="shared" si="3"/>
        <v>176878.11939878657</v>
      </c>
      <c r="G44" s="157">
        <f t="shared" si="4"/>
        <v>637736.75602371758</v>
      </c>
      <c r="H44" s="36"/>
      <c r="I44" s="36"/>
      <c r="J44" s="36"/>
      <c r="K44" s="3"/>
      <c r="L44" s="3"/>
      <c r="M44" s="3"/>
    </row>
    <row r="45" spans="1:13" x14ac:dyDescent="0.3">
      <c r="A45" s="3"/>
      <c r="B45" s="182">
        <f>'ULTA Q Rev (Acual)'!B37</f>
        <v>41435</v>
      </c>
      <c r="C45" s="183">
        <f>'ULTA Q Rev (Acual)'!C37</f>
        <v>582712</v>
      </c>
      <c r="D45" s="157">
        <f t="shared" si="1"/>
        <v>585503.53074334201</v>
      </c>
      <c r="E45" s="157">
        <f t="shared" si="2"/>
        <v>14051.874553975791</v>
      </c>
      <c r="F45" s="157">
        <f t="shared" si="3"/>
        <v>-2791.5307433420094</v>
      </c>
      <c r="G45" s="157">
        <f t="shared" si="4"/>
        <v>600975.94797803462</v>
      </c>
      <c r="H45" s="36"/>
      <c r="I45" s="36"/>
      <c r="J45" s="36"/>
      <c r="K45" s="3"/>
      <c r="L45" s="3"/>
      <c r="M45" s="3"/>
    </row>
    <row r="46" spans="1:13" x14ac:dyDescent="0.3">
      <c r="A46" s="3"/>
      <c r="B46" s="182">
        <f>'ULTA Q Rev (Acual)'!B38</f>
        <v>41528</v>
      </c>
      <c r="C46" s="183">
        <f>'ULTA Q Rev (Acual)'!C38</f>
        <v>600998</v>
      </c>
      <c r="D46" s="157">
        <f t="shared" si="1"/>
        <v>601552.46810926369</v>
      </c>
      <c r="E46" s="157">
        <f t="shared" si="2"/>
        <v>14153.166671718722</v>
      </c>
      <c r="F46" s="157">
        <f t="shared" si="3"/>
        <v>-554.46810926368926</v>
      </c>
      <c r="G46" s="157">
        <f t="shared" si="4"/>
        <v>597702.09160434897</v>
      </c>
      <c r="H46" s="36"/>
      <c r="I46" s="36"/>
      <c r="J46" s="36"/>
      <c r="K46" s="3"/>
      <c r="L46" s="3"/>
      <c r="M46" s="3"/>
    </row>
    <row r="47" spans="1:13" x14ac:dyDescent="0.3">
      <c r="A47" s="3"/>
      <c r="B47" s="182">
        <f>'ULTA Q Rev (Acual)'!B39</f>
        <v>41612</v>
      </c>
      <c r="C47" s="183">
        <f>'ULTA Q Rev (Acual)'!C39</f>
        <v>618781</v>
      </c>
      <c r="D47" s="157">
        <f t="shared" si="1"/>
        <v>612751.57023867557</v>
      </c>
      <c r="E47" s="157">
        <f t="shared" si="2"/>
        <v>14003.334902958275</v>
      </c>
      <c r="F47" s="157">
        <f t="shared" si="3"/>
        <v>6029.4297613244271</v>
      </c>
      <c r="G47" s="157">
        <f t="shared" si="4"/>
        <v>623656.32293328177</v>
      </c>
      <c r="H47" s="36"/>
      <c r="I47" s="36"/>
      <c r="J47" s="36"/>
      <c r="K47" s="3"/>
      <c r="L47" s="3"/>
      <c r="M47" s="3"/>
    </row>
    <row r="48" spans="1:13" x14ac:dyDescent="0.3">
      <c r="A48" s="3"/>
      <c r="B48" s="182">
        <f>'ULTA Q Rev (Acual)'!B40</f>
        <v>41728</v>
      </c>
      <c r="C48" s="183">
        <f>'ULTA Q Rev (Acual)'!C40</f>
        <v>868082</v>
      </c>
      <c r="D48" s="157">
        <f t="shared" si="1"/>
        <v>665805.94561599055</v>
      </c>
      <c r="E48" s="157">
        <f t="shared" si="2"/>
        <v>15984.025027500886</v>
      </c>
      <c r="F48" s="157">
        <f t="shared" si="3"/>
        <v>202276.05438400945</v>
      </c>
      <c r="G48" s="157">
        <f t="shared" si="4"/>
        <v>803633.02454042039</v>
      </c>
      <c r="H48" s="36"/>
      <c r="I48" s="36"/>
      <c r="J48" s="36"/>
      <c r="K48" s="36"/>
      <c r="L48" s="3"/>
      <c r="M48" s="3"/>
    </row>
    <row r="49" spans="1:13" ht="15" x14ac:dyDescent="0.3">
      <c r="A49" s="107"/>
      <c r="B49" s="182">
        <f>'ULTA Q Rev (Acual)'!B41</f>
        <v>41794</v>
      </c>
      <c r="C49" s="183">
        <f>'ULTA Q Rev (Acual)'!C41</f>
        <v>713770</v>
      </c>
      <c r="D49" s="157">
        <f t="shared" si="1"/>
        <v>702858.81760549475</v>
      </c>
      <c r="E49" s="157">
        <f t="shared" si="2"/>
        <v>17052.64846509002</v>
      </c>
      <c r="F49" s="157">
        <f t="shared" si="3"/>
        <v>10911.182394505246</v>
      </c>
      <c r="G49" s="157">
        <f t="shared" si="4"/>
        <v>678998.43990014947</v>
      </c>
      <c r="H49" s="36"/>
      <c r="I49" s="3"/>
      <c r="J49" s="3"/>
      <c r="K49" s="3"/>
      <c r="L49" s="3"/>
      <c r="M49" s="3"/>
    </row>
    <row r="50" spans="1:13" ht="15.5" x14ac:dyDescent="0.3">
      <c r="A50" s="108"/>
      <c r="B50" s="182">
        <f>'ULTA Q Rev (Acual)'!B42</f>
        <v>41823</v>
      </c>
      <c r="C50" s="183">
        <f>'ULTA Q Rev (Acual)'!C42</f>
        <v>734236</v>
      </c>
      <c r="D50" s="157">
        <f t="shared" si="1"/>
        <v>728926.97805796925</v>
      </c>
      <c r="E50" s="157">
        <f t="shared" si="2"/>
        <v>17509.920162442973</v>
      </c>
      <c r="F50" s="157">
        <f t="shared" si="3"/>
        <v>5309.0219420307549</v>
      </c>
      <c r="G50" s="157">
        <f t="shared" si="4"/>
        <v>719356.99796132103</v>
      </c>
      <c r="H50" s="36"/>
      <c r="I50" s="3"/>
      <c r="J50" s="3"/>
      <c r="K50" s="3"/>
      <c r="L50" s="3"/>
      <c r="M50" s="3"/>
    </row>
    <row r="51" spans="1:13" ht="15.5" x14ac:dyDescent="0.3">
      <c r="A51" s="108"/>
      <c r="B51" s="182">
        <f>'ULTA Q Rev (Acual)'!B43</f>
        <v>41976</v>
      </c>
      <c r="C51" s="183">
        <f>'ULTA Q Rev (Acual)'!C43</f>
        <v>745722</v>
      </c>
      <c r="D51" s="157">
        <f t="shared" si="1"/>
        <v>742350.36273852061</v>
      </c>
      <c r="E51" s="157">
        <f t="shared" si="2"/>
        <v>17302.648848433022</v>
      </c>
      <c r="F51" s="157">
        <f t="shared" si="3"/>
        <v>3371.6372614793945</v>
      </c>
      <c r="G51" s="157">
        <f t="shared" si="4"/>
        <v>752466.32798173663</v>
      </c>
      <c r="H51" s="36"/>
      <c r="I51" s="3"/>
      <c r="J51" s="3"/>
      <c r="K51" s="3"/>
      <c r="L51" s="3"/>
      <c r="M51" s="3"/>
    </row>
    <row r="52" spans="1:13" ht="15.5" x14ac:dyDescent="0.3">
      <c r="A52" s="108"/>
      <c r="B52" s="182">
        <f>'ULTA Q Rev (Acual)'!B44</f>
        <v>42091</v>
      </c>
      <c r="C52" s="183">
        <f>'ULTA Q Rev (Acual)'!C44</f>
        <v>1047641</v>
      </c>
      <c r="D52" s="157">
        <f t="shared" si="1"/>
        <v>811587.74260533159</v>
      </c>
      <c r="E52" s="157">
        <f t="shared" si="2"/>
        <v>19936.806801700015</v>
      </c>
      <c r="F52" s="157">
        <f t="shared" si="3"/>
        <v>236053.25739466841</v>
      </c>
      <c r="G52" s="157">
        <f t="shared" si="4"/>
        <v>961929.0659709631</v>
      </c>
      <c r="H52" s="36"/>
      <c r="I52" s="3"/>
      <c r="J52" s="3"/>
      <c r="K52" s="3"/>
      <c r="L52" s="3"/>
      <c r="M52" s="3"/>
    </row>
    <row r="53" spans="1:13" x14ac:dyDescent="0.3">
      <c r="A53" s="3"/>
      <c r="B53" s="182">
        <f>'ULTA Q Rev (Acual)'!B45</f>
        <v>42157</v>
      </c>
      <c r="C53" s="183">
        <f>'ULTA Q Rev (Acual)'!C45</f>
        <v>868122</v>
      </c>
      <c r="D53" s="157">
        <f t="shared" si="1"/>
        <v>847088.41976960178</v>
      </c>
      <c r="E53" s="157">
        <f t="shared" si="2"/>
        <v>20726.214816245676</v>
      </c>
      <c r="F53" s="157">
        <f t="shared" si="3"/>
        <v>21033.58023039822</v>
      </c>
      <c r="G53" s="157">
        <f t="shared" si="4"/>
        <v>842435.73180153687</v>
      </c>
      <c r="H53" s="3"/>
      <c r="I53" s="3"/>
      <c r="J53" s="3"/>
      <c r="K53" s="3"/>
      <c r="L53" s="3"/>
      <c r="M53" s="3"/>
    </row>
    <row r="54" spans="1:13" x14ac:dyDescent="0.3">
      <c r="B54" s="182">
        <f>'ULTA Q Rev (Acual)'!B46</f>
        <v>42241</v>
      </c>
      <c r="C54" s="183">
        <f>'ULTA Q Rev (Acual)'!C46</f>
        <v>876999</v>
      </c>
      <c r="D54" s="157">
        <f t="shared" si="1"/>
        <v>870162.78975360142</v>
      </c>
      <c r="E54" s="157">
        <f t="shared" si="2"/>
        <v>20845.314530239673</v>
      </c>
      <c r="F54" s="157">
        <f t="shared" si="3"/>
        <v>6836.2102463985793</v>
      </c>
      <c r="G54" s="157">
        <f t="shared" si="4"/>
        <v>873123.65652787825</v>
      </c>
    </row>
    <row r="55" spans="1:13" x14ac:dyDescent="0.3">
      <c r="B55" s="182">
        <f>'ULTA Q Rev (Acual)'!B47</f>
        <v>42339</v>
      </c>
      <c r="C55" s="183">
        <f>'ULTA Q Rev (Acual)'!C47</f>
        <v>910700</v>
      </c>
      <c r="D55" s="157">
        <f t="shared" si="1"/>
        <v>900896.90498115181</v>
      </c>
      <c r="E55" s="157">
        <f t="shared" si="2"/>
        <v>21346.879908442472</v>
      </c>
      <c r="F55" s="157">
        <f t="shared" si="3"/>
        <v>9803.0950188481947</v>
      </c>
      <c r="G55" s="157">
        <f t="shared" si="4"/>
        <v>894379.74154532049</v>
      </c>
    </row>
    <row r="56" spans="1:13" x14ac:dyDescent="0.3">
      <c r="B56" s="182">
        <f>'ULTA Q Rev (Acual)'!B48</f>
        <v>42463</v>
      </c>
      <c r="C56" s="183">
        <f>'ULTA Q Rev (Acual)'!C48</f>
        <v>1268295</v>
      </c>
      <c r="D56" s="157">
        <f t="shared" si="1"/>
        <v>988893.94756825257</v>
      </c>
      <c r="E56" s="157">
        <f t="shared" si="2"/>
        <v>24727.412601379678</v>
      </c>
      <c r="F56" s="157">
        <f t="shared" si="3"/>
        <v>279401.05243174743</v>
      </c>
      <c r="G56" s="157">
        <f t="shared" si="4"/>
        <v>1158297.0422842628</v>
      </c>
    </row>
    <row r="57" spans="1:13" x14ac:dyDescent="0.3">
      <c r="B57" s="182">
        <f>'ULTA Q Rev (Acual)'!B49</f>
        <v>42522</v>
      </c>
      <c r="C57" s="183">
        <f>'ULTA Q Rev (Acual)'!C49</f>
        <v>1073716</v>
      </c>
      <c r="D57" s="157">
        <f t="shared" si="1"/>
        <v>1037289.3084734241</v>
      </c>
      <c r="E57" s="157">
        <f t="shared" si="2"/>
        <v>25927.86388011805</v>
      </c>
      <c r="F57" s="157">
        <f t="shared" si="3"/>
        <v>36426.691526575945</v>
      </c>
      <c r="G57" s="157">
        <f t="shared" si="4"/>
        <v>1034654.9404000305</v>
      </c>
    </row>
    <row r="58" spans="1:13" x14ac:dyDescent="0.3">
      <c r="B58" s="182">
        <f>'ULTA Q Rev (Acual)'!B50</f>
        <v>42613</v>
      </c>
      <c r="C58" s="183">
        <f>'ULTA Q Rev (Acual)'!C50</f>
        <v>1069215</v>
      </c>
      <c r="D58" s="157">
        <f t="shared" si="1"/>
        <v>1062709.1780431622</v>
      </c>
      <c r="E58" s="157">
        <f t="shared" si="2"/>
        <v>25902.098130942839</v>
      </c>
      <c r="F58" s="157">
        <f t="shared" si="3"/>
        <v>6505.8219568377826</v>
      </c>
      <c r="G58" s="157">
        <f t="shared" si="4"/>
        <v>1070053.3825999408</v>
      </c>
    </row>
    <row r="59" spans="1:13" x14ac:dyDescent="0.3">
      <c r="B59" s="182">
        <f>'ULTA Q Rev (Acual)'!B51</f>
        <v>42704</v>
      </c>
      <c r="C59" s="183">
        <f>'ULTA Q Rev (Acual)'!C51</f>
        <v>1131232</v>
      </c>
      <c r="D59" s="157">
        <f t="shared" si="1"/>
        <v>1108496.1935320257</v>
      </c>
      <c r="E59" s="157">
        <f t="shared" si="2"/>
        <v>26910.672011683415</v>
      </c>
      <c r="F59" s="157">
        <f t="shared" si="3"/>
        <v>22735.806467974326</v>
      </c>
      <c r="G59" s="157">
        <f t="shared" si="4"/>
        <v>1098414.3711929531</v>
      </c>
    </row>
    <row r="60" spans="1:13" x14ac:dyDescent="0.3">
      <c r="B60" s="182">
        <f>'ULTA Q Rev (Acual)'!B52</f>
        <v>42827</v>
      </c>
      <c r="C60" s="183">
        <f>'ULTA Q Rev (Acual)'!C52</f>
        <v>1580574</v>
      </c>
      <c r="D60" s="157">
        <f t="shared" si="1"/>
        <v>1235848.1515727765</v>
      </c>
      <c r="E60" s="157">
        <f t="shared" si="2"/>
        <v>32005.108956705957</v>
      </c>
      <c r="F60" s="157">
        <f t="shared" si="3"/>
        <v>344725.84842722351</v>
      </c>
      <c r="G60" s="157">
        <f t="shared" si="4"/>
        <v>1414807.9179754565</v>
      </c>
    </row>
    <row r="61" spans="1:13" x14ac:dyDescent="0.3">
      <c r="B61" s="182">
        <f>'ULTA Q Rev (Acual)'!B53</f>
        <v>42887</v>
      </c>
      <c r="C61" s="183">
        <f>'ULTA Q Rev (Acual)'!C53</f>
        <v>1314879</v>
      </c>
      <c r="D61" s="157">
        <f t="shared" si="1"/>
        <v>1274275.4549444751</v>
      </c>
      <c r="E61" s="157">
        <f t="shared" si="2"/>
        <v>32330.846168855824</v>
      </c>
      <c r="F61" s="157">
        <f t="shared" si="3"/>
        <v>40603.545055524912</v>
      </c>
      <c r="G61" s="157">
        <f t="shared" si="4"/>
        <v>1304279.9520560584</v>
      </c>
    </row>
    <row r="62" spans="1:13" x14ac:dyDescent="0.3">
      <c r="B62" s="182">
        <f>'ULTA Q Rev (Acual)'!B54</f>
        <v>42977</v>
      </c>
      <c r="C62" s="183">
        <f>'ULTA Q Rev (Acual)'!C54</f>
        <v>1289854</v>
      </c>
      <c r="D62" s="157">
        <f t="shared" si="1"/>
        <v>1292513.6968648685</v>
      </c>
      <c r="E62" s="157">
        <f t="shared" si="2"/>
        <v>31616.061576052307</v>
      </c>
      <c r="F62" s="157">
        <f t="shared" si="3"/>
        <v>-2659.6968648685142</v>
      </c>
      <c r="G62" s="157">
        <f t="shared" si="4"/>
        <v>1313112.1230701688</v>
      </c>
    </row>
    <row r="63" spans="1:13" x14ac:dyDescent="0.3">
      <c r="B63" s="182">
        <f>'ULTA Q Rev (Acual)'!B55</f>
        <v>43075</v>
      </c>
      <c r="C63" s="183">
        <f>'ULTA Q Rev (Acual)'!C55</f>
        <v>1342181</v>
      </c>
      <c r="D63" s="157">
        <f t="shared" si="1"/>
        <v>1321291.2783478317</v>
      </c>
      <c r="E63" s="157">
        <f t="shared" si="2"/>
        <v>31472.092313753539</v>
      </c>
      <c r="F63" s="157">
        <f t="shared" si="3"/>
        <v>20889.721652168315</v>
      </c>
      <c r="G63" s="157">
        <f t="shared" si="4"/>
        <v>1346865.5649088952</v>
      </c>
    </row>
    <row r="64" spans="1:13" x14ac:dyDescent="0.3">
      <c r="B64" s="182">
        <f>'ULTA Q Rev (Acual)'!B56</f>
        <v>43186</v>
      </c>
      <c r="C64" s="183">
        <f>'ULTA Q Rev (Acual)'!C56</f>
        <v>1937592</v>
      </c>
      <c r="D64" s="157">
        <f t="shared" si="1"/>
        <v>1498246.8845344945</v>
      </c>
      <c r="E64" s="157">
        <f t="shared" si="2"/>
        <v>38851.095682461506</v>
      </c>
      <c r="F64" s="157">
        <f t="shared" si="3"/>
        <v>439345.11546550551</v>
      </c>
      <c r="G64" s="157">
        <f t="shared" si="4"/>
        <v>1697489.2190888086</v>
      </c>
    </row>
    <row r="65" spans="2:7" x14ac:dyDescent="0.3">
      <c r="B65" s="182">
        <f>'ULTA Q Rev (Acual)'!B57</f>
        <v>43250</v>
      </c>
      <c r="C65" s="183">
        <f>'ULTA Q Rev (Acual)'!C57</f>
        <v>1543667</v>
      </c>
      <c r="D65" s="157">
        <f t="shared" si="1"/>
        <v>1516475.7187385757</v>
      </c>
      <c r="E65" s="157">
        <f t="shared" si="2"/>
        <v>37805.123304778368</v>
      </c>
      <c r="F65" s="157">
        <f t="shared" si="3"/>
        <v>27191.281261424301</v>
      </c>
      <c r="G65" s="157">
        <f t="shared" si="4"/>
        <v>1577701.5252724809</v>
      </c>
    </row>
    <row r="66" spans="2:7" x14ac:dyDescent="0.3">
      <c r="B66" s="182">
        <f>'ULTA Q Rev (Acual)'!B58</f>
        <v>43341</v>
      </c>
      <c r="C66" s="183">
        <f>'ULTA Q Rev (Acual)'!C58</f>
        <v>1488221</v>
      </c>
      <c r="D66" s="157">
        <f t="shared" si="1"/>
        <v>1515865.3107212479</v>
      </c>
      <c r="E66" s="157">
        <f t="shared" si="2"/>
        <v>35856.666551911112</v>
      </c>
      <c r="F66" s="157">
        <f t="shared" si="3"/>
        <v>-27644.310721247923</v>
      </c>
      <c r="G66" s="157">
        <f t="shared" si="4"/>
        <v>1551621.1451784857</v>
      </c>
    </row>
    <row r="67" spans="2:7" x14ac:dyDescent="0.3">
      <c r="B67" s="182">
        <f>'ULTA Q Rev (Acual)'!B59</f>
        <v>43439</v>
      </c>
      <c r="C67" s="183">
        <f>'ULTA Q Rev (Acual)'!C59</f>
        <v>1560011</v>
      </c>
      <c r="D67" s="157">
        <f t="shared" si="1"/>
        <v>1544086.9388535528</v>
      </c>
      <c r="E67" s="157">
        <f t="shared" si="2"/>
        <v>35469.413228708421</v>
      </c>
      <c r="F67" s="157">
        <f t="shared" si="3"/>
        <v>15924.061146447202</v>
      </c>
      <c r="G67" s="157">
        <f t="shared" si="4"/>
        <v>1572611.6989253273</v>
      </c>
    </row>
    <row r="68" spans="2:7" x14ac:dyDescent="0.3">
      <c r="B68" s="182">
        <f>'ULTA Q Rev (Acual)'!B60</f>
        <v>43550</v>
      </c>
      <c r="C68" s="183">
        <f>'ULTA Q Rev (Acual)'!C60</f>
        <v>2124716</v>
      </c>
      <c r="D68" s="157">
        <f t="shared" si="1"/>
        <v>1643671.6861135811</v>
      </c>
      <c r="E68" s="157">
        <f t="shared" si="2"/>
        <v>38721.378026700862</v>
      </c>
      <c r="F68" s="157">
        <f t="shared" si="3"/>
        <v>481044.31388641894</v>
      </c>
      <c r="G68" s="157">
        <f t="shared" si="4"/>
        <v>2018901.4675477666</v>
      </c>
    </row>
    <row r="69" spans="2:7" x14ac:dyDescent="0.3">
      <c r="B69" s="182">
        <f>'ULTA Q Rev (Acual)'!B61</f>
        <v>43613</v>
      </c>
      <c r="C69" s="183">
        <f>'ULTA Q Rev (Acual)'!C61</f>
        <v>1743029</v>
      </c>
      <c r="D69" s="157">
        <f t="shared" si="1"/>
        <v>1702657.9101064983</v>
      </c>
      <c r="E69" s="157">
        <f t="shared" si="2"/>
        <v>39749.222094185287</v>
      </c>
      <c r="F69" s="157">
        <f t="shared" si="3"/>
        <v>40371.089893501718</v>
      </c>
      <c r="G69" s="157">
        <f t="shared" si="4"/>
        <v>1709584.3454017062</v>
      </c>
    </row>
    <row r="70" spans="2:7" x14ac:dyDescent="0.3">
      <c r="B70" s="182">
        <f>'ULTA Q Rev (Acual)'!B62</f>
        <v>43704</v>
      </c>
      <c r="C70" s="183">
        <f>'ULTA Q Rev (Acual)'!C62</f>
        <v>1666607</v>
      </c>
      <c r="D70" s="157">
        <f t="shared" si="1"/>
        <v>1713228.4692311108</v>
      </c>
      <c r="E70" s="157">
        <f t="shared" si="2"/>
        <v>38269.264354540908</v>
      </c>
      <c r="F70" s="157">
        <f t="shared" si="3"/>
        <v>-46621.469231110765</v>
      </c>
      <c r="G70" s="157">
        <f t="shared" si="4"/>
        <v>1714762.8214794355</v>
      </c>
    </row>
    <row r="71" spans="2:7" x14ac:dyDescent="0.3">
      <c r="B71" s="182">
        <f>'ULTA Q Rev (Acual)'!B63</f>
        <v>43802</v>
      </c>
      <c r="C71" s="183">
        <f>'ULTA Q Rev (Acual)'!C63</f>
        <v>1682514</v>
      </c>
      <c r="D71" s="157">
        <f t="shared" si="1"/>
        <v>1700050.2481131931</v>
      </c>
      <c r="E71" s="157">
        <f t="shared" si="2"/>
        <v>35659.819761771018</v>
      </c>
      <c r="F71" s="157">
        <f t="shared" si="3"/>
        <v>-17536.248113193084</v>
      </c>
      <c r="G71" s="157">
        <f t="shared" si="4"/>
        <v>1767421.7947320989</v>
      </c>
    </row>
    <row r="72" spans="2:7" x14ac:dyDescent="0.3">
      <c r="B72" s="182">
        <f>'ULTA Q Rev (Acual)'!B64</f>
        <v>43915</v>
      </c>
      <c r="C72" s="183">
        <f>'ULTA Q Rev (Acual)'!C64</f>
        <v>2305918</v>
      </c>
      <c r="D72" s="157">
        <f t="shared" si="1"/>
        <v>1789736.2496698955</v>
      </c>
      <c r="E72" s="157">
        <f t="shared" si="2"/>
        <v>38400.057241953735</v>
      </c>
      <c r="F72" s="157">
        <f t="shared" si="3"/>
        <v>516181.75033010449</v>
      </c>
      <c r="G72" s="157">
        <f t="shared" si="4"/>
        <v>2216754.3817613833</v>
      </c>
    </row>
    <row r="73" spans="2:7" x14ac:dyDescent="0.3">
      <c r="B73" s="182">
        <f>'ULTA Q Rev (Acual)'!B65</f>
        <v>43978</v>
      </c>
      <c r="C73" s="183">
        <f>'ULTA Q Rev (Acual)'!C65</f>
        <v>1173210</v>
      </c>
      <c r="D73" s="157">
        <f t="shared" si="1"/>
        <v>1406840.4431569697</v>
      </c>
      <c r="E73" s="157">
        <f t="shared" si="2"/>
        <v>17031.700683108804</v>
      </c>
      <c r="F73" s="157">
        <f t="shared" si="3"/>
        <v>-233630.44315696973</v>
      </c>
      <c r="G73" s="157">
        <f t="shared" si="4"/>
        <v>1868507.3968053509</v>
      </c>
    </row>
    <row r="74" spans="2:7" x14ac:dyDescent="0.3">
      <c r="B74" s="182">
        <f>'ULTA Q Rev (Acual)'!B66</f>
        <v>44068</v>
      </c>
      <c r="C74" s="183">
        <f>'ULTA Q Rev (Acual)'!C66</f>
        <v>1228009</v>
      </c>
      <c r="D74" s="157">
        <f t="shared" si="1"/>
        <v>1333443.356818154</v>
      </c>
      <c r="E74" s="157">
        <f t="shared" si="2"/>
        <v>12445.103162197462</v>
      </c>
      <c r="F74" s="157">
        <f t="shared" si="3"/>
        <v>-105434.35681815399</v>
      </c>
      <c r="G74" s="157">
        <f t="shared" si="4"/>
        <v>1377250.6746089677</v>
      </c>
    </row>
    <row r="75" spans="2:7" x14ac:dyDescent="0.3">
      <c r="B75" s="182">
        <f>'ULTA Q Rev (Acual)'!B67</f>
        <v>44167</v>
      </c>
      <c r="C75" s="183">
        <f>'ULTA Q Rev (Acual)'!C67</f>
        <v>1552033</v>
      </c>
      <c r="D75" s="157">
        <f t="shared" si="1"/>
        <v>1481421.5301094477</v>
      </c>
      <c r="E75" s="157">
        <f t="shared" si="2"/>
        <v>19319.414583679867</v>
      </c>
      <c r="F75" s="157">
        <f t="shared" si="3"/>
        <v>70611.46989055234</v>
      </c>
      <c r="G75" s="157">
        <f t="shared" si="4"/>
        <v>1328352.2118671583</v>
      </c>
    </row>
    <row r="76" spans="2:7" x14ac:dyDescent="0.3">
      <c r="B76" s="182">
        <f>'ULTA Q Rev (Acual)'!B68</f>
        <v>44279</v>
      </c>
      <c r="C76" s="183">
        <f>'ULTA Q Rev (Acual)'!C68</f>
        <v>2198701</v>
      </c>
      <c r="D76" s="157">
        <f t="shared" si="1"/>
        <v>1610884.3859873922</v>
      </c>
      <c r="E76" s="157">
        <f t="shared" si="2"/>
        <v>24905.950148537504</v>
      </c>
      <c r="F76" s="157">
        <f t="shared" si="3"/>
        <v>587816.61401260784</v>
      </c>
      <c r="G76" s="157">
        <f t="shared" si="4"/>
        <v>2016922.6950232319</v>
      </c>
    </row>
    <row r="77" spans="2:7" x14ac:dyDescent="0.3">
      <c r="B77" s="182">
        <f>'ULTA Q Rev (Acual)'!B69</f>
        <v>44342</v>
      </c>
      <c r="C77" s="183">
        <f>'ULTA Q Rev (Acual)'!C69</f>
        <v>1938519</v>
      </c>
      <c r="D77" s="157">
        <f t="shared" si="1"/>
        <v>1960782.0221590027</v>
      </c>
      <c r="E77" s="157">
        <f t="shared" si="2"/>
        <v>41389.706157216744</v>
      </c>
      <c r="F77" s="157">
        <f t="shared" si="3"/>
        <v>-22263.022159002721</v>
      </c>
      <c r="G77" s="157">
        <f t="shared" si="4"/>
        <v>1402159.8929789599</v>
      </c>
    </row>
    <row r="78" spans="2:7" x14ac:dyDescent="0.3">
      <c r="B78" s="182">
        <f>'ULTA Q Rev (Acual)'!B70</f>
        <v>44433</v>
      </c>
      <c r="C78" s="183">
        <f>'ULTA Q Rev (Acual)'!C70</f>
        <v>1967207</v>
      </c>
      <c r="D78" s="157">
        <f t="shared" si="1"/>
        <v>2044870.8138364824</v>
      </c>
      <c r="E78" s="157">
        <f t="shared" si="2"/>
        <v>43555.42712110556</v>
      </c>
      <c r="F78" s="157">
        <f t="shared" si="3"/>
        <v>-77663.813836482354</v>
      </c>
      <c r="G78" s="157">
        <f t="shared" si="4"/>
        <v>1896737.3714980655</v>
      </c>
    </row>
    <row r="79" spans="2:7" x14ac:dyDescent="0.3">
      <c r="B79" s="182">
        <f>'ULTA Q Rev (Acual)'!B71</f>
        <v>44531</v>
      </c>
      <c r="C79" s="183">
        <f>'ULTA Q Rev (Acual)'!C71</f>
        <v>1995775</v>
      </c>
      <c r="D79" s="157">
        <f t="shared" si="1"/>
        <v>1989501.802146571</v>
      </c>
      <c r="E79" s="157">
        <f t="shared" si="2"/>
        <v>38537.925496339216</v>
      </c>
      <c r="F79" s="157">
        <f t="shared" si="3"/>
        <v>6273.1978534290101</v>
      </c>
      <c r="G79" s="157">
        <f t="shared" si="4"/>
        <v>2159037.7108481405</v>
      </c>
    </row>
    <row r="80" spans="2:7" x14ac:dyDescent="0.3">
      <c r="B80" s="182">
        <f>'ULTA Q Rev (Acual)'!B72</f>
        <v>44646</v>
      </c>
      <c r="C80" s="183">
        <f>'ULTA Q Rev (Acual)'!C72</f>
        <v>2729388</v>
      </c>
      <c r="D80" s="157">
        <f t="shared" si="1"/>
        <v>2096831.0366360496</v>
      </c>
      <c r="E80" s="157">
        <f t="shared" si="2"/>
        <v>42027.058301047538</v>
      </c>
      <c r="F80" s="157">
        <f t="shared" si="3"/>
        <v>632556.96336395037</v>
      </c>
      <c r="G80" s="157">
        <f t="shared" si="4"/>
        <v>2615856.3416555179</v>
      </c>
    </row>
    <row r="81" spans="1:7" x14ac:dyDescent="0.3">
      <c r="B81" s="182">
        <f>'ULTA Q Rev (Acual)'!B73</f>
        <v>44706</v>
      </c>
      <c r="C81" s="183">
        <f>'ULTA Q Rev (Acual)'!C73</f>
        <v>2345901</v>
      </c>
      <c r="D81" s="157">
        <f t="shared" si="1"/>
        <v>2277799.5595778902</v>
      </c>
      <c r="E81" s="157">
        <f t="shared" si="2"/>
        <v>49074.245355748892</v>
      </c>
      <c r="F81" s="157">
        <f t="shared" si="3"/>
        <v>68101.440422109794</v>
      </c>
      <c r="G81" s="157">
        <f t="shared" si="4"/>
        <v>2116595.0727780946</v>
      </c>
    </row>
    <row r="82" spans="1:7" x14ac:dyDescent="0.3">
      <c r="B82" s="182">
        <f>'ULTA Q Rev (Acual)'!B74</f>
        <v>44797</v>
      </c>
      <c r="C82" s="183">
        <f>'ULTA Q Rev (Acual)'!C74</f>
        <v>2297113</v>
      </c>
      <c r="D82" s="157">
        <f t="shared" ref="D82:D95" si="5">$D$5*(C82-F78)+(1-$D$5)*(D81+E81)</f>
        <v>2355899.2832468147</v>
      </c>
      <c r="E82" s="157">
        <f t="shared" ref="E82:E95" si="6">$D$6*(D82-D81)+(1-$D$6)*E81</f>
        <v>50546.433485865025</v>
      </c>
      <c r="F82" s="157">
        <f t="shared" ref="F82:F95" si="7">$D$7*(C82-D82)+(1-$D$7)*F78</f>
        <v>-58786.283246814739</v>
      </c>
      <c r="G82" s="157">
        <f t="shared" ref="G82:G95" si="8">D81+E81+F78</f>
        <v>2249209.9910971569</v>
      </c>
    </row>
    <row r="83" spans="1:7" x14ac:dyDescent="0.3">
      <c r="B83" s="182">
        <f>'ULTA Q Rev (Acual)'!B75</f>
        <v>44895</v>
      </c>
      <c r="C83" s="183">
        <f>'ULTA Q Rev (Acual)'!C75</f>
        <v>2338793</v>
      </c>
      <c r="D83" s="157">
        <f t="shared" si="5"/>
        <v>2361652.3920596363</v>
      </c>
      <c r="E83" s="157">
        <f t="shared" si="6"/>
        <v>48274.491567093668</v>
      </c>
      <c r="F83" s="157">
        <f t="shared" si="7"/>
        <v>-22859.392059636302</v>
      </c>
      <c r="G83" s="157">
        <f t="shared" si="8"/>
        <v>2412718.9145861091</v>
      </c>
    </row>
    <row r="84" spans="1:7" x14ac:dyDescent="0.3">
      <c r="B84" s="182">
        <f>'ULTA Q Rev (Acual)'!B76</f>
        <v>45012</v>
      </c>
      <c r="C84" s="183">
        <f>'ULTA Q Rev (Acual)'!C76</f>
        <v>3226773</v>
      </c>
      <c r="D84" s="157">
        <f t="shared" si="5"/>
        <v>2521591.702529327</v>
      </c>
      <c r="E84" s="157">
        <f t="shared" si="6"/>
        <v>53938.19223607966</v>
      </c>
      <c r="F84" s="157">
        <f t="shared" si="7"/>
        <v>705181.29747067299</v>
      </c>
      <c r="G84" s="157">
        <f t="shared" si="8"/>
        <v>3042483.8469906803</v>
      </c>
    </row>
    <row r="85" spans="1:7" x14ac:dyDescent="0.3">
      <c r="B85" s="182">
        <f>'ULTA Q Rev (Acual)'!B77</f>
        <v>45076</v>
      </c>
      <c r="C85" s="183">
        <f>'ULTA Q Rev (Acual)'!C77</f>
        <v>2634263</v>
      </c>
      <c r="D85" s="157">
        <f t="shared" si="5"/>
        <v>2569853.4160630498</v>
      </c>
      <c r="E85" s="157">
        <f t="shared" si="6"/>
        <v>53650.278132604799</v>
      </c>
      <c r="F85" s="157">
        <f t="shared" si="7"/>
        <v>64409.583936950192</v>
      </c>
      <c r="G85" s="157">
        <f t="shared" si="8"/>
        <v>2643631.3351875166</v>
      </c>
    </row>
    <row r="86" spans="1:7" x14ac:dyDescent="0.3">
      <c r="B86" s="182">
        <f>'ULTA Q Rev (Acual)'!B78</f>
        <v>45167</v>
      </c>
      <c r="C86" s="183">
        <f>'ULTA Q Rev (Acual)'!C78</f>
        <v>2529809</v>
      </c>
      <c r="D86" s="157">
        <f t="shared" si="5"/>
        <v>2602351.9263182338</v>
      </c>
      <c r="E86" s="157">
        <f t="shared" si="6"/>
        <v>52577.448900847558</v>
      </c>
      <c r="F86" s="157">
        <f t="shared" si="7"/>
        <v>-72542.926318233833</v>
      </c>
      <c r="G86" s="157">
        <f t="shared" si="8"/>
        <v>2564717.41094884</v>
      </c>
    </row>
    <row r="87" spans="1:7" x14ac:dyDescent="0.3">
      <c r="B87" s="182">
        <f>'ULTA Q Rev (Acual)'!B79</f>
        <v>45265</v>
      </c>
      <c r="C87" s="183">
        <f>'ULTA Q Rev (Acual)'!C79</f>
        <v>2488933</v>
      </c>
      <c r="D87" s="157">
        <f t="shared" si="5"/>
        <v>2568199.5539476406</v>
      </c>
      <c r="E87" s="157">
        <f t="shared" si="6"/>
        <v>48178.464945260181</v>
      </c>
      <c r="F87" s="157">
        <f t="shared" si="7"/>
        <v>-79266.553947640583</v>
      </c>
      <c r="G87" s="157">
        <f t="shared" si="8"/>
        <v>2632069.9831594452</v>
      </c>
    </row>
    <row r="88" spans="1:7" x14ac:dyDescent="0.3">
      <c r="B88" s="182">
        <f>'ULTA Q Rev (Acual)'!B80</f>
        <v>45378</v>
      </c>
      <c r="C88" s="183">
        <f>'ULTA Q Rev (Acual)'!C80</f>
        <v>3554298</v>
      </c>
      <c r="D88" s="157">
        <f t="shared" si="5"/>
        <v>2757399.4655462261</v>
      </c>
      <c r="E88" s="157">
        <f t="shared" si="6"/>
        <v>55331.149824895401</v>
      </c>
      <c r="F88" s="157">
        <f t="shared" si="7"/>
        <v>796898.53445377387</v>
      </c>
      <c r="G88" s="157">
        <f t="shared" si="8"/>
        <v>3321559.3163635735</v>
      </c>
    </row>
    <row r="89" spans="1:7" x14ac:dyDescent="0.3">
      <c r="B89" s="182">
        <f>'ULTA Q Rev (Acual)'!B81</f>
        <v>45441</v>
      </c>
      <c r="C89" s="183">
        <f>'ULTA Q Rev (Acual)'!C81</f>
        <v>2725848</v>
      </c>
      <c r="D89" s="157">
        <f t="shared" si="5"/>
        <v>2721059.3706926187</v>
      </c>
      <c r="E89" s="157">
        <f t="shared" si="6"/>
        <v>50681.53417231192</v>
      </c>
      <c r="F89" s="157">
        <f t="shared" si="7"/>
        <v>4788.6293073813431</v>
      </c>
      <c r="G89" s="157">
        <f t="shared" si="8"/>
        <v>2877140.1993080718</v>
      </c>
    </row>
    <row r="90" spans="1:7" x14ac:dyDescent="0.3">
      <c r="B90" s="182">
        <f>'ULTA Q Rev (Acual)'!B82</f>
        <v>45532</v>
      </c>
      <c r="C90" s="183">
        <f>'ULTA Q Rev (Acual)'!C82</f>
        <v>2552087</v>
      </c>
      <c r="D90" s="157">
        <f t="shared" si="5"/>
        <v>2682603.153077825</v>
      </c>
      <c r="E90" s="157">
        <f t="shared" si="6"/>
        <v>46160.418664401521</v>
      </c>
      <c r="F90" s="157">
        <f t="shared" si="7"/>
        <v>-130516.15307782497</v>
      </c>
      <c r="G90" s="157">
        <f t="shared" si="8"/>
        <v>2699197.9785466967</v>
      </c>
    </row>
    <row r="91" spans="1:7" x14ac:dyDescent="0.3">
      <c r="B91" s="182">
        <f>'ULTA Q Rev (Acual)'!B83</f>
        <v>45631</v>
      </c>
      <c r="C91" s="183">
        <f>'ULTA Q Rev (Acual)'!C83</f>
        <v>2530100</v>
      </c>
      <c r="D91" s="157">
        <f t="shared" si="5"/>
        <v>2656418.3134791516</v>
      </c>
      <c r="E91" s="157">
        <f t="shared" si="6"/>
        <v>42491.027609552351</v>
      </c>
      <c r="F91" s="157">
        <f t="shared" si="7"/>
        <v>-126318.31347915158</v>
      </c>
      <c r="G91" s="157">
        <f t="shared" si="8"/>
        <v>2649497.0177945858</v>
      </c>
    </row>
    <row r="92" spans="1:7" x14ac:dyDescent="0.3">
      <c r="B92" s="182">
        <f>'ULTA Q Rev (Acual)'!B84</f>
        <v>45743</v>
      </c>
      <c r="C92" s="183">
        <f>'ULTA Q Rev (Acual)'!C84</f>
        <v>3487619</v>
      </c>
      <c r="D92" s="157">
        <f t="shared" si="5"/>
        <v>2693947.5227204766</v>
      </c>
      <c r="E92" s="157">
        <f t="shared" si="6"/>
        <v>42239.361468974726</v>
      </c>
      <c r="F92" s="157">
        <f t="shared" si="7"/>
        <v>793671.47727952339</v>
      </c>
      <c r="G92" s="157">
        <f t="shared" si="8"/>
        <v>3495807.8755424777</v>
      </c>
    </row>
    <row r="93" spans="1:7" x14ac:dyDescent="0.3">
      <c r="B93" s="182">
        <f>'ULTA Q Rev (Acual)'!B85</f>
        <v>45806</v>
      </c>
      <c r="C93" s="183">
        <f>'ULTA Q Rev (Acual)'!C85</f>
        <v>2848367</v>
      </c>
      <c r="D93" s="157">
        <f t="shared" si="5"/>
        <v>2801257.729088556</v>
      </c>
      <c r="E93" s="157">
        <f t="shared" si="6"/>
        <v>45539.790300619672</v>
      </c>
      <c r="F93" s="157">
        <f t="shared" si="7"/>
        <v>47109.270911443979</v>
      </c>
      <c r="G93" s="157">
        <f t="shared" si="8"/>
        <v>2740975.5134968325</v>
      </c>
    </row>
    <row r="94" spans="1:7" x14ac:dyDescent="0.3">
      <c r="B94" s="182">
        <f>'ULTA Q Rev (Acual)'!B86</f>
        <v>45897</v>
      </c>
      <c r="C94" s="183">
        <f>'ULTA Q Rev (Acual)'!C86</f>
        <v>2788469</v>
      </c>
      <c r="D94" s="157">
        <f t="shared" si="5"/>
        <v>2890537.5817380561</v>
      </c>
      <c r="E94" s="157">
        <f t="shared" si="6"/>
        <v>47758.310178424101</v>
      </c>
      <c r="F94" s="157">
        <f t="shared" si="7"/>
        <v>-102068.58173805615</v>
      </c>
      <c r="G94" s="157">
        <f t="shared" si="8"/>
        <v>2716281.3663113508</v>
      </c>
    </row>
    <row r="95" spans="1:7" x14ac:dyDescent="0.3">
      <c r="B95" s="245">
        <f>'ULTA Q Rev (Acual)'!B87</f>
        <v>45995</v>
      </c>
      <c r="C95" s="236">
        <f>'ULTA Q Rev (Acual)'!C87</f>
        <v>2857623</v>
      </c>
      <c r="D95" s="161">
        <f t="shared" si="5"/>
        <v>2965953.4488008544</v>
      </c>
      <c r="E95" s="161">
        <f t="shared" si="6"/>
        <v>49161.116585741926</v>
      </c>
      <c r="F95" s="161">
        <f t="shared" si="7"/>
        <v>-108330.44880085438</v>
      </c>
      <c r="G95" s="161">
        <f t="shared" si="8"/>
        <v>2811977.5784373288</v>
      </c>
    </row>
    <row r="96" spans="1:7" ht="15" x14ac:dyDescent="0.3">
      <c r="A96" s="107" t="s">
        <v>8</v>
      </c>
      <c r="B96" s="165">
        <v>46108</v>
      </c>
      <c r="G96" s="246">
        <f>$D$95+$E$95*(ROW()-ROW($G$95))+F89</f>
        <v>3019903.1946939775</v>
      </c>
    </row>
    <row r="97" spans="2:7" x14ac:dyDescent="0.3">
      <c r="B97" s="165">
        <v>46234</v>
      </c>
      <c r="G97" s="246">
        <f>$D$95+$E$95*(ROW()-ROW($G$95))+F90</f>
        <v>2933759.5288945134</v>
      </c>
    </row>
    <row r="98" spans="2:7" x14ac:dyDescent="0.3">
      <c r="B98" s="165">
        <v>46262</v>
      </c>
      <c r="G98" s="246">
        <f>$D$95+$E$95*(ROW()-ROW($G$95))+F91</f>
        <v>2987118.4850789285</v>
      </c>
    </row>
    <row r="99" spans="2:7" x14ac:dyDescent="0.3">
      <c r="B99" s="165">
        <v>46360</v>
      </c>
      <c r="G99" s="246">
        <f>$D$95+$E$95*(ROW()-ROW($G$95))+F92</f>
        <v>3956269.3924233457</v>
      </c>
    </row>
    <row r="100" spans="2:7" x14ac:dyDescent="0.3">
      <c r="B100" s="165">
        <v>46473</v>
      </c>
      <c r="G100" s="246">
        <f>$D$95+$E$95*(ROW()-ROW($G$95))+F93</f>
        <v>3258868.302641008</v>
      </c>
    </row>
    <row r="101" spans="2:7" x14ac:dyDescent="0.3">
      <c r="B101" s="178">
        <v>46599</v>
      </c>
      <c r="C101" s="16"/>
      <c r="D101" s="16"/>
      <c r="E101" s="16"/>
      <c r="F101" s="16"/>
      <c r="G101" s="247">
        <f>$D$95+$E$95*(ROW()-ROW($G$95))+F95</f>
        <v>3152589.6995144514</v>
      </c>
    </row>
    <row r="102" spans="2:7" x14ac:dyDescent="0.3">
      <c r="B102" s="3" t="s">
        <v>208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A72A-094F-45D6-96A3-CC948B77F108}">
  <dimension ref="A2:M102"/>
  <sheetViews>
    <sheetView topLeftCell="D15" zoomScale="81" workbookViewId="0">
      <selection activeCell="H8" sqref="H8"/>
    </sheetView>
  </sheetViews>
  <sheetFormatPr defaultRowHeight="14" x14ac:dyDescent="0.3"/>
  <cols>
    <col min="1" max="1" width="10.26953125" customWidth="1"/>
    <col min="2" max="2" width="14.6328125" customWidth="1"/>
    <col min="3" max="3" width="12" customWidth="1"/>
    <col min="4" max="4" width="12.6328125" customWidth="1"/>
    <col min="5" max="5" width="16.26953125" customWidth="1"/>
    <col min="7" max="7" width="11.6328125" customWidth="1"/>
  </cols>
  <sheetData>
    <row r="2" spans="1:13" ht="25" x14ac:dyDescent="0.3">
      <c r="A2" s="3"/>
      <c r="B2" s="111" t="s">
        <v>221</v>
      </c>
      <c r="C2" s="24"/>
      <c r="D2" s="3"/>
      <c r="E2" s="3"/>
      <c r="F2" s="3"/>
      <c r="G2" s="3"/>
      <c r="H2" s="3"/>
      <c r="I2" s="3"/>
      <c r="J2" s="40"/>
      <c r="K2" s="41"/>
      <c r="L2" s="3"/>
      <c r="M2" s="3"/>
    </row>
    <row r="3" spans="1:13" ht="17.5" x14ac:dyDescent="0.3">
      <c r="A3" s="3"/>
      <c r="B3" s="24"/>
      <c r="C3" s="24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" x14ac:dyDescent="0.3">
      <c r="A4" s="3"/>
      <c r="B4" s="30" t="s">
        <v>110</v>
      </c>
      <c r="C4" s="27"/>
      <c r="D4" s="27"/>
      <c r="E4" s="27"/>
      <c r="F4" s="3"/>
      <c r="G4" s="3"/>
      <c r="H4" s="3"/>
      <c r="I4" s="3"/>
      <c r="J4" s="3"/>
      <c r="K4" s="3"/>
      <c r="L4" s="3"/>
      <c r="M4" s="3"/>
    </row>
    <row r="5" spans="1:13" x14ac:dyDescent="0.3">
      <c r="A5" s="3"/>
      <c r="B5" s="6" t="s">
        <v>5</v>
      </c>
      <c r="C5" s="3"/>
      <c r="D5" s="3"/>
      <c r="E5" s="198">
        <v>0.7316485060397272</v>
      </c>
      <c r="F5" s="122"/>
      <c r="G5" s="3"/>
      <c r="H5" s="3"/>
      <c r="I5" s="3"/>
      <c r="J5" s="3"/>
      <c r="K5" s="3"/>
      <c r="L5" s="3"/>
      <c r="M5" s="3"/>
    </row>
    <row r="6" spans="1:13" x14ac:dyDescent="0.3">
      <c r="A6" s="3"/>
      <c r="B6" s="6" t="s">
        <v>9</v>
      </c>
      <c r="C6" s="3"/>
      <c r="D6" s="3"/>
      <c r="E6" s="198">
        <v>4.5839001287177661E-2</v>
      </c>
      <c r="F6" s="122"/>
      <c r="G6" s="3"/>
      <c r="H6" s="3"/>
      <c r="I6" s="3"/>
      <c r="J6" s="3"/>
      <c r="K6" s="3"/>
      <c r="L6" s="3"/>
      <c r="M6" s="3"/>
    </row>
    <row r="7" spans="1:13" x14ac:dyDescent="0.3">
      <c r="A7" s="3"/>
      <c r="B7" s="6" t="s">
        <v>11</v>
      </c>
      <c r="C7" s="3"/>
      <c r="D7" s="3"/>
      <c r="E7" s="198">
        <v>0.70193894928779665</v>
      </c>
      <c r="F7" s="123"/>
      <c r="G7" s="3"/>
      <c r="H7" s="3"/>
      <c r="I7" s="3"/>
      <c r="J7" s="3"/>
      <c r="K7" s="3"/>
      <c r="L7" s="3"/>
      <c r="M7" s="3"/>
    </row>
    <row r="8" spans="1:13" x14ac:dyDescent="0.3">
      <c r="A8" s="3"/>
      <c r="B8" s="6" t="s">
        <v>101</v>
      </c>
      <c r="C8" s="3"/>
      <c r="D8" s="3"/>
      <c r="E8" s="199">
        <f>SUMXMY2(C17:C95,G17:G95)/COUNT(C17:C95)</f>
        <v>14107158447.28231</v>
      </c>
      <c r="F8" s="36"/>
      <c r="G8" s="3"/>
      <c r="H8" s="3"/>
      <c r="I8" s="3"/>
      <c r="J8" s="3"/>
      <c r="K8" s="3"/>
      <c r="L8" s="3"/>
      <c r="M8" s="3"/>
    </row>
    <row r="9" spans="1:13" x14ac:dyDescent="0.3">
      <c r="A9" s="3"/>
      <c r="B9" s="6" t="s">
        <v>102</v>
      </c>
      <c r="C9" s="3"/>
      <c r="D9" s="3"/>
      <c r="E9" s="200" cm="1">
        <f t="array" ref="E9">AVERAGE(ABS(C17:C95-G17:G95)/C17:C95)</f>
        <v>6.5372197629100778E-2</v>
      </c>
      <c r="F9" s="36"/>
      <c r="G9" s="3"/>
      <c r="H9" s="3"/>
      <c r="I9" s="3"/>
      <c r="J9" s="3"/>
      <c r="K9" s="3"/>
      <c r="L9" s="3"/>
      <c r="M9" s="3"/>
    </row>
    <row r="10" spans="1:13" x14ac:dyDescent="0.3">
      <c r="A10" s="3"/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5" x14ac:dyDescent="0.3">
      <c r="A11" s="3"/>
      <c r="B11" s="30" t="s">
        <v>109</v>
      </c>
      <c r="C11" s="27"/>
      <c r="D11" s="27"/>
      <c r="E11" s="27"/>
      <c r="F11" s="27"/>
      <c r="G11" s="27"/>
      <c r="H11" s="3"/>
      <c r="I11" s="3"/>
      <c r="J11" s="3"/>
      <c r="K11" s="3"/>
      <c r="L11" s="3"/>
      <c r="M11" s="3"/>
    </row>
    <row r="12" spans="1:13" x14ac:dyDescent="0.3">
      <c r="A12" s="6"/>
      <c r="B12" s="12" t="s">
        <v>0</v>
      </c>
      <c r="C12" s="12" t="s">
        <v>103</v>
      </c>
      <c r="D12" s="12" t="s">
        <v>6</v>
      </c>
      <c r="E12" s="12" t="s">
        <v>7</v>
      </c>
      <c r="F12" s="12" t="s">
        <v>10</v>
      </c>
      <c r="G12" s="12" t="s">
        <v>8</v>
      </c>
      <c r="H12" s="37"/>
      <c r="I12" s="31"/>
      <c r="J12" s="31"/>
      <c r="K12" s="31"/>
      <c r="L12" s="3"/>
      <c r="M12" s="3"/>
    </row>
    <row r="13" spans="1:13" x14ac:dyDescent="0.3">
      <c r="A13" s="6" t="s">
        <v>97</v>
      </c>
      <c r="B13" s="182">
        <f>'ULTA Q Rev (Acual)'!B5</f>
        <v>38472</v>
      </c>
      <c r="C13" s="183">
        <f>'ULTA Q Rev (Acual)'!C5</f>
        <v>144769</v>
      </c>
      <c r="D13" s="5"/>
      <c r="E13" s="5"/>
      <c r="F13" s="197">
        <f>C13/$D$16</f>
        <v>1.000001726892026</v>
      </c>
      <c r="G13" s="5"/>
      <c r="H13" s="38"/>
      <c r="I13" s="38"/>
      <c r="J13" s="38"/>
      <c r="K13" s="38"/>
      <c r="L13" s="3"/>
      <c r="M13" s="3"/>
    </row>
    <row r="14" spans="1:13" x14ac:dyDescent="0.3">
      <c r="A14" s="3"/>
      <c r="B14" s="182">
        <f>'ULTA Q Rev (Acual)'!B6</f>
        <v>38564</v>
      </c>
      <c r="C14" s="183">
        <f>'ULTA Q Rev (Acual)'!C6</f>
        <v>144769</v>
      </c>
      <c r="D14" s="5"/>
      <c r="E14" s="5"/>
      <c r="F14" s="197">
        <f t="shared" ref="F14:F16" si="0">C14/$D$16</f>
        <v>1.000001726892026</v>
      </c>
      <c r="G14" s="5"/>
      <c r="H14" s="38"/>
      <c r="I14" s="38"/>
      <c r="J14" s="38"/>
      <c r="K14" s="38"/>
      <c r="L14" s="3"/>
      <c r="M14" s="3"/>
    </row>
    <row r="15" spans="1:13" x14ac:dyDescent="0.3">
      <c r="A15" s="3"/>
      <c r="B15" s="182">
        <f>'ULTA Q Rev (Acual)'!B7</f>
        <v>38656</v>
      </c>
      <c r="C15" s="183">
        <f>'ULTA Q Rev (Acual)'!C7</f>
        <v>144769</v>
      </c>
      <c r="D15" s="5"/>
      <c r="E15" s="5"/>
      <c r="F15" s="197">
        <f t="shared" si="0"/>
        <v>1.000001726892026</v>
      </c>
      <c r="G15" s="5"/>
      <c r="H15" s="38"/>
      <c r="I15" s="38"/>
      <c r="J15" s="38"/>
      <c r="K15" s="38"/>
      <c r="L15" s="3"/>
      <c r="M15" s="3"/>
    </row>
    <row r="16" spans="1:13" x14ac:dyDescent="0.3">
      <c r="A16" s="3"/>
      <c r="B16" s="182">
        <f>'ULTA Q Rev (Acual)'!B8</f>
        <v>38748</v>
      </c>
      <c r="C16" s="183">
        <f>'ULTA Q Rev (Acual)'!C8</f>
        <v>144768</v>
      </c>
      <c r="D16" s="196">
        <f>AVERAGE(C13:C16)</f>
        <v>144768.75</v>
      </c>
      <c r="E16" s="197">
        <v>0</v>
      </c>
      <c r="F16" s="197">
        <f t="shared" si="0"/>
        <v>0.99999481932392176</v>
      </c>
      <c r="G16" s="5"/>
      <c r="H16" s="38"/>
      <c r="I16" s="38"/>
      <c r="J16" s="38"/>
      <c r="K16" s="38"/>
      <c r="L16" s="3"/>
      <c r="M16" s="3"/>
    </row>
    <row r="17" spans="1:13" x14ac:dyDescent="0.3">
      <c r="A17" s="3"/>
      <c r="B17" s="182">
        <f>'ULTA Q Rev (Acual)'!B9</f>
        <v>38837</v>
      </c>
      <c r="C17" s="183">
        <f>'ULTA Q Rev (Acual)'!C9</f>
        <v>159468</v>
      </c>
      <c r="D17" s="196">
        <f>$E$5*(C17/F13)+(1-$E$5)*(D16+E16)</f>
        <v>155523.23281844734</v>
      </c>
      <c r="E17" s="197">
        <f>$E$6*(D17-D16)+(1-$E$6)*E16</f>
        <v>492.97475175773786</v>
      </c>
      <c r="F17" s="197">
        <f>$E$7*(C17/D17)+(1-$E$7)*F13</f>
        <v>1.0178048368158512</v>
      </c>
      <c r="G17" s="196">
        <f>SUM(D16:E16)*F13</f>
        <v>144769</v>
      </c>
      <c r="H17" s="38"/>
      <c r="I17" s="38"/>
      <c r="J17" s="38"/>
      <c r="K17" s="38"/>
      <c r="L17" s="3"/>
      <c r="M17" s="3"/>
    </row>
    <row r="18" spans="1:13" x14ac:dyDescent="0.3">
      <c r="A18" s="3"/>
      <c r="B18" s="182">
        <f>'ULTA Q Rev (Acual)'!B10</f>
        <v>38929</v>
      </c>
      <c r="C18" s="183">
        <f>'ULTA Q Rev (Acual)'!C10</f>
        <v>162558</v>
      </c>
      <c r="D18" s="196">
        <f t="shared" ref="D18:D81" si="1">$E$5*(C18/F14)+(1-$E$5)*(D17+E17)</f>
        <v>160802.29484018922</v>
      </c>
      <c r="E18" s="197">
        <f t="shared" ref="E18:E81" si="2">$E$6*(D18-D17)+(1-$E$6)*E17</f>
        <v>712.36421228708537</v>
      </c>
      <c r="F18" s="197">
        <f t="shared" ref="F18:F81" si="3">$E$7*(C18/D18)+(1-$E$7)*F14</f>
        <v>1.0076645709838812</v>
      </c>
      <c r="G18" s="196">
        <f t="shared" ref="G18:G81" si="4">SUM(D17:E17)*F14</f>
        <v>156016.47699334988</v>
      </c>
      <c r="H18" s="38"/>
      <c r="I18" s="38"/>
      <c r="J18" s="38"/>
      <c r="K18" s="38"/>
      <c r="L18" s="3"/>
      <c r="M18" s="3"/>
    </row>
    <row r="19" spans="1:13" x14ac:dyDescent="0.3">
      <c r="A19" s="3"/>
      <c r="B19" s="182">
        <f>'ULTA Q Rev (Acual)'!B11</f>
        <v>39021</v>
      </c>
      <c r="C19" s="183">
        <f>'ULTA Q Rev (Acual)'!C11</f>
        <v>216544</v>
      </c>
      <c r="D19" s="196">
        <f t="shared" si="1"/>
        <v>201776.52054698154</v>
      </c>
      <c r="E19" s="197">
        <f t="shared" si="2"/>
        <v>2557.9277331578796</v>
      </c>
      <c r="F19" s="197">
        <f t="shared" si="3"/>
        <v>1.0513735336551557</v>
      </c>
      <c r="G19" s="196">
        <f t="shared" si="4"/>
        <v>161514.93797085312</v>
      </c>
      <c r="H19" s="38"/>
      <c r="I19" s="38"/>
      <c r="J19" s="38"/>
      <c r="K19" s="38"/>
      <c r="L19" s="3"/>
      <c r="M19" s="3"/>
    </row>
    <row r="20" spans="1:13" x14ac:dyDescent="0.3">
      <c r="A20" s="3"/>
      <c r="B20" s="182">
        <f>'ULTA Q Rev (Acual)'!B12</f>
        <v>39113</v>
      </c>
      <c r="C20" s="183">
        <f>'ULTA Q Rev (Acual)'!C12</f>
        <v>216543</v>
      </c>
      <c r="D20" s="196">
        <f t="shared" si="1"/>
        <v>213267.63770306727</v>
      </c>
      <c r="E20" s="197">
        <f t="shared" si="2"/>
        <v>2967.4162146140711</v>
      </c>
      <c r="F20" s="197">
        <f t="shared" si="3"/>
        <v>1.0107788273698126</v>
      </c>
      <c r="G20" s="196">
        <f t="shared" si="4"/>
        <v>204333.38968955126</v>
      </c>
      <c r="H20" s="5"/>
      <c r="I20" s="5"/>
      <c r="J20" s="5"/>
      <c r="K20" s="5"/>
      <c r="L20" s="3"/>
      <c r="M20" s="3"/>
    </row>
    <row r="21" spans="1:13" x14ac:dyDescent="0.3">
      <c r="A21" s="3"/>
      <c r="B21" s="182">
        <f>'ULTA Q Rev (Acual)'!B13</f>
        <v>39202</v>
      </c>
      <c r="C21" s="183">
        <f>'ULTA Q Rev (Acual)'!C13</f>
        <v>194113</v>
      </c>
      <c r="D21" s="196">
        <f t="shared" si="1"/>
        <v>197565.03428406978</v>
      </c>
      <c r="E21" s="197">
        <f t="shared" si="2"/>
        <v>2111.6011605973185</v>
      </c>
      <c r="F21" s="197">
        <f t="shared" si="3"/>
        <v>0.99304201860382801</v>
      </c>
      <c r="G21" s="196">
        <f t="shared" si="4"/>
        <v>220085.08376655245</v>
      </c>
      <c r="H21" s="5"/>
      <c r="I21" s="5"/>
      <c r="J21" s="5"/>
      <c r="K21" s="5"/>
      <c r="L21" s="3"/>
      <c r="M21" s="3"/>
    </row>
    <row r="22" spans="1:13" x14ac:dyDescent="0.3">
      <c r="A22" s="3"/>
      <c r="B22" s="182">
        <f>'ULTA Q Rev (Acual)'!B14</f>
        <v>39293</v>
      </c>
      <c r="C22" s="183">
        <f>'ULTA Q Rev (Acual)'!C14</f>
        <v>200449</v>
      </c>
      <c r="D22" s="196">
        <f t="shared" si="1"/>
        <v>199126.21254578567</v>
      </c>
      <c r="E22" s="197">
        <f t="shared" si="2"/>
        <v>2086.3703246270006</v>
      </c>
      <c r="F22" s="197">
        <f t="shared" si="3"/>
        <v>1.0069474624056309</v>
      </c>
      <c r="G22" s="196">
        <f t="shared" si="4"/>
        <v>201207.07119085532</v>
      </c>
      <c r="H22" s="5"/>
      <c r="I22" s="5"/>
      <c r="J22" s="5"/>
      <c r="K22" s="5"/>
      <c r="L22" s="3"/>
      <c r="M22" s="3"/>
    </row>
    <row r="23" spans="1:13" x14ac:dyDescent="0.3">
      <c r="A23" s="3"/>
      <c r="B23" s="182">
        <f>'ULTA Q Rev (Acual)'!B15</f>
        <v>39386</v>
      </c>
      <c r="C23" s="183">
        <f>'ULTA Q Rev (Acual)'!C15</f>
        <v>208235</v>
      </c>
      <c r="D23" s="196">
        <f t="shared" si="1"/>
        <v>198905.97104269476</v>
      </c>
      <c r="E23" s="197">
        <f t="shared" si="2"/>
        <v>1980.6375420872198</v>
      </c>
      <c r="F23" s="197">
        <f t="shared" si="3"/>
        <v>1.0482345821737296</v>
      </c>
      <c r="G23" s="196">
        <f t="shared" si="4"/>
        <v>211549.58426834663</v>
      </c>
      <c r="H23" s="5"/>
      <c r="I23" s="5"/>
      <c r="J23" s="5"/>
      <c r="K23" s="5"/>
      <c r="L23" s="3"/>
      <c r="M23" s="3"/>
    </row>
    <row r="24" spans="1:13" x14ac:dyDescent="0.3">
      <c r="A24" s="3"/>
      <c r="B24" s="182">
        <f>'ULTA Q Rev (Acual)'!B16</f>
        <v>39478</v>
      </c>
      <c r="C24" s="183">
        <f>'ULTA Q Rev (Acual)'!C16</f>
        <v>309344</v>
      </c>
      <c r="D24" s="196">
        <f t="shared" si="1"/>
        <v>277825.7288264684</v>
      </c>
      <c r="E24" s="197">
        <f t="shared" si="2"/>
        <v>5507.4499738802006</v>
      </c>
      <c r="F24" s="197">
        <f t="shared" si="3"/>
        <v>1.082845049926104</v>
      </c>
      <c r="G24" s="196">
        <f t="shared" si="4"/>
        <v>203051.93065962446</v>
      </c>
      <c r="H24" s="5"/>
      <c r="I24" s="5"/>
      <c r="J24" s="5"/>
      <c r="K24" s="5"/>
      <c r="L24" s="3"/>
      <c r="M24" s="3"/>
    </row>
    <row r="25" spans="1:13" x14ac:dyDescent="0.3">
      <c r="A25" s="3"/>
      <c r="B25" s="182">
        <f>'ULTA Q Rev (Acual)'!B17</f>
        <v>39568</v>
      </c>
      <c r="C25" s="183">
        <f>'ULTA Q Rev (Acual)'!C17</f>
        <v>239298</v>
      </c>
      <c r="D25" s="196">
        <f t="shared" si="1"/>
        <v>252341.65921095223</v>
      </c>
      <c r="E25" s="197">
        <f t="shared" si="2"/>
        <v>4086.8296675302686</v>
      </c>
      <c r="F25" s="197">
        <f t="shared" si="3"/>
        <v>0.96164254187060272</v>
      </c>
      <c r="G25" s="196">
        <f t="shared" si="4"/>
        <v>281361.7518133375</v>
      </c>
      <c r="H25" s="5"/>
      <c r="I25" s="5"/>
      <c r="J25" s="5"/>
      <c r="K25" s="5"/>
      <c r="L25" s="3"/>
      <c r="M25" s="3"/>
    </row>
    <row r="26" spans="1:13" x14ac:dyDescent="0.3">
      <c r="A26" s="3"/>
      <c r="B26" s="182">
        <f>'ULTA Q Rev (Acual)'!B18</f>
        <v>39660</v>
      </c>
      <c r="C26" s="183">
        <f>'ULTA Q Rev (Acual)'!C18</f>
        <v>249111</v>
      </c>
      <c r="D26" s="196">
        <f t="shared" si="1"/>
        <v>249817.13939712176</v>
      </c>
      <c r="E26" s="197">
        <f t="shared" si="2"/>
        <v>3783.7720101441923</v>
      </c>
      <c r="F26" s="197">
        <f t="shared" si="3"/>
        <v>1.0000866496902998</v>
      </c>
      <c r="G26" s="196">
        <f t="shared" si="4"/>
        <v>258210.01616469849</v>
      </c>
      <c r="H26" s="5"/>
      <c r="I26" s="5"/>
      <c r="J26" s="5"/>
      <c r="K26" s="5"/>
      <c r="L26" s="3"/>
      <c r="M26" s="3"/>
    </row>
    <row r="27" spans="1:13" x14ac:dyDescent="0.3">
      <c r="A27" s="3"/>
      <c r="B27" s="182">
        <f>'ULTA Q Rev (Acual)'!B19</f>
        <v>39752</v>
      </c>
      <c r="C27" s="183">
        <f>'ULTA Q Rev (Acual)'!C19</f>
        <v>254843</v>
      </c>
      <c r="D27" s="196">
        <f t="shared" si="1"/>
        <v>245929.92175435336</v>
      </c>
      <c r="E27" s="197">
        <f t="shared" si="2"/>
        <v>3432.1415055704056</v>
      </c>
      <c r="F27" s="197">
        <f t="shared" si="3"/>
        <v>1.0398167671678236</v>
      </c>
      <c r="G27" s="196">
        <f t="shared" si="4"/>
        <v>265833.24540787243</v>
      </c>
      <c r="H27" s="5"/>
      <c r="I27" s="5"/>
      <c r="J27" s="5"/>
      <c r="K27" s="5"/>
      <c r="L27" s="3"/>
      <c r="M27" s="3"/>
    </row>
    <row r="28" spans="1:13" x14ac:dyDescent="0.3">
      <c r="A28" s="3"/>
      <c r="B28" s="182">
        <f>'ULTA Q Rev (Acual)'!B20</f>
        <v>39844</v>
      </c>
      <c r="C28" s="183">
        <f>'ULTA Q Rev (Acual)'!C20</f>
        <v>341394</v>
      </c>
      <c r="D28" s="196">
        <f t="shared" si="1"/>
        <v>297587.18311963818</v>
      </c>
      <c r="E28" s="197">
        <f t="shared" si="2"/>
        <v>5642.7328368941517</v>
      </c>
      <c r="F28" s="197">
        <f t="shared" si="3"/>
        <v>1.1280229746369272</v>
      </c>
      <c r="G28" s="196">
        <f t="shared" si="4"/>
        <v>270020.47584036848</v>
      </c>
      <c r="H28" s="5"/>
      <c r="I28" s="5"/>
      <c r="J28" s="5"/>
      <c r="K28" s="5"/>
      <c r="L28" s="3"/>
      <c r="M28" s="3"/>
    </row>
    <row r="29" spans="1:13" x14ac:dyDescent="0.3">
      <c r="A29" s="3"/>
      <c r="B29" s="182">
        <f>'ULTA Q Rev (Acual)'!B21</f>
        <v>39933</v>
      </c>
      <c r="C29" s="183">
        <f>'ULTA Q Rev (Acual)'!C21</f>
        <v>268825</v>
      </c>
      <c r="D29" s="196">
        <f t="shared" si="1"/>
        <v>285902.88785526023</v>
      </c>
      <c r="E29" s="197">
        <f t="shared" si="2"/>
        <v>4848.4791734569753</v>
      </c>
      <c r="F29" s="197">
        <f t="shared" si="3"/>
        <v>0.94663809210307381</v>
      </c>
      <c r="G29" s="196">
        <f t="shared" si="4"/>
        <v>291598.78715164901</v>
      </c>
      <c r="H29" s="5"/>
      <c r="I29" s="5"/>
      <c r="J29" s="5"/>
      <c r="K29" s="5"/>
      <c r="L29" s="3"/>
      <c r="M29" s="3"/>
    </row>
    <row r="30" spans="1:13" x14ac:dyDescent="0.3">
      <c r="A30" s="3"/>
      <c r="B30" s="182">
        <f>'ULTA Q Rev (Acual)'!B22</f>
        <v>40025</v>
      </c>
      <c r="C30" s="183">
        <f>'ULTA Q Rev (Acual)'!C22</f>
        <v>273539</v>
      </c>
      <c r="D30" s="196">
        <f t="shared" si="1"/>
        <v>278140.62432542304</v>
      </c>
      <c r="E30" s="197">
        <f t="shared" si="2"/>
        <v>4270.415322448408</v>
      </c>
      <c r="F30" s="197">
        <f t="shared" si="3"/>
        <v>0.98841278277000788</v>
      </c>
      <c r="G30" s="196">
        <f t="shared" si="4"/>
        <v>290776.56054462446</v>
      </c>
      <c r="H30" s="5"/>
      <c r="I30" s="5"/>
      <c r="J30" s="5"/>
      <c r="K30" s="5"/>
      <c r="L30" s="3"/>
      <c r="M30" s="3"/>
    </row>
    <row r="31" spans="1:13" x14ac:dyDescent="0.3">
      <c r="A31" s="3"/>
      <c r="B31" s="182">
        <f>'ULTA Q Rev (Acual)'!B23</f>
        <v>40117</v>
      </c>
      <c r="C31" s="183">
        <f>'ULTA Q Rev (Acual)'!C23</f>
        <v>284043</v>
      </c>
      <c r="D31" s="196">
        <f t="shared" si="1"/>
        <v>275647.21078711643</v>
      </c>
      <c r="E31" s="197">
        <f t="shared" si="2"/>
        <v>3960.3681625940098</v>
      </c>
      <c r="F31" s="197">
        <f t="shared" si="3"/>
        <v>1.0332478060244656</v>
      </c>
      <c r="G31" s="196">
        <f t="shared" si="4"/>
        <v>293655.73425915372</v>
      </c>
      <c r="H31" s="5"/>
      <c r="I31" s="5"/>
      <c r="J31" s="5"/>
      <c r="K31" s="5"/>
      <c r="L31" s="3"/>
      <c r="M31" s="3"/>
    </row>
    <row r="32" spans="1:13" x14ac:dyDescent="0.3">
      <c r="A32" s="3"/>
      <c r="B32" s="182">
        <f>'ULTA Q Rev (Acual)'!B24</f>
        <v>40209</v>
      </c>
      <c r="C32" s="183">
        <f>'ULTA Q Rev (Acual)'!C24</f>
        <v>396364</v>
      </c>
      <c r="D32" s="196">
        <f t="shared" si="1"/>
        <v>332119.30123772623</v>
      </c>
      <c r="E32" s="197">
        <f t="shared" si="2"/>
        <v>6367.453068146282</v>
      </c>
      <c r="F32" s="197">
        <f t="shared" si="3"/>
        <v>1.1739407628592227</v>
      </c>
      <c r="G32" s="196">
        <f t="shared" si="4"/>
        <v>315403.77293788188</v>
      </c>
      <c r="H32" s="5"/>
      <c r="I32" s="5"/>
      <c r="J32" s="5"/>
      <c r="K32" s="5"/>
      <c r="L32" s="3"/>
      <c r="M32" s="3"/>
    </row>
    <row r="33" spans="1:13" x14ac:dyDescent="0.3">
      <c r="A33" s="3"/>
      <c r="B33" s="182">
        <f>'ULTA Q Rev (Acual)'!B25</f>
        <v>40298</v>
      </c>
      <c r="C33" s="183">
        <f>'ULTA Q Rev (Acual)'!C25</f>
        <v>320196</v>
      </c>
      <c r="D33" s="196">
        <f t="shared" si="1"/>
        <v>338310.18315468734</v>
      </c>
      <c r="E33" s="197">
        <f t="shared" si="2"/>
        <v>6359.3592229198266</v>
      </c>
      <c r="F33" s="197">
        <f t="shared" si="3"/>
        <v>0.94651089139672306</v>
      </c>
      <c r="G33" s="196">
        <f t="shared" si="4"/>
        <v>320424.45529827307</v>
      </c>
      <c r="H33" s="5"/>
      <c r="I33" s="5"/>
      <c r="J33" s="5"/>
      <c r="K33" s="5"/>
      <c r="L33" s="3"/>
      <c r="M33" s="3"/>
    </row>
    <row r="34" spans="1:13" x14ac:dyDescent="0.3">
      <c r="A34" s="3"/>
      <c r="B34" s="182">
        <f>'ULTA Q Rev (Acual)'!B26</f>
        <v>40390</v>
      </c>
      <c r="C34" s="183">
        <f>'ULTA Q Rev (Acual)'!C26</f>
        <v>321804</v>
      </c>
      <c r="D34" s="196">
        <f t="shared" si="1"/>
        <v>330700.16541861708</v>
      </c>
      <c r="E34" s="197">
        <f t="shared" si="2"/>
        <v>5719.0169345156091</v>
      </c>
      <c r="F34" s="197">
        <f t="shared" si="3"/>
        <v>0.97766344161248808</v>
      </c>
      <c r="G34" s="196">
        <f t="shared" si="4"/>
        <v>340675.78151751589</v>
      </c>
      <c r="H34" s="5"/>
      <c r="I34" s="5"/>
      <c r="J34" s="5"/>
      <c r="K34" s="5"/>
      <c r="L34" s="3"/>
      <c r="M34" s="3"/>
    </row>
    <row r="35" spans="1:13" x14ac:dyDescent="0.3">
      <c r="A35" s="3"/>
      <c r="B35" s="182">
        <f>'ULTA Q Rev (Acual)'!B27</f>
        <v>40482</v>
      </c>
      <c r="C35" s="183">
        <f>'ULTA Q Rev (Acual)'!C27</f>
        <v>339179</v>
      </c>
      <c r="D35" s="196">
        <f t="shared" si="1"/>
        <v>330453.12254728604</v>
      </c>
      <c r="E35" s="197">
        <f t="shared" si="2"/>
        <v>5445.5387113960251</v>
      </c>
      <c r="F35" s="197">
        <f t="shared" si="3"/>
        <v>1.0284451320833456</v>
      </c>
      <c r="G35" s="196">
        <f t="shared" si="4"/>
        <v>347604.38207091897</v>
      </c>
      <c r="H35" s="5"/>
      <c r="I35" s="5"/>
      <c r="J35" s="5"/>
      <c r="K35" s="5"/>
      <c r="L35" s="3"/>
      <c r="M35" s="3"/>
    </row>
    <row r="36" spans="1:13" x14ac:dyDescent="0.3">
      <c r="A36" s="3"/>
      <c r="B36" s="182">
        <f>'ULTA Q Rev (Acual)'!B28</f>
        <v>40574</v>
      </c>
      <c r="C36" s="183">
        <f>'ULTA Q Rev (Acual)'!C28</f>
        <v>473659</v>
      </c>
      <c r="D36" s="196">
        <f t="shared" si="1"/>
        <v>385342.81451663031</v>
      </c>
      <c r="E36" s="197">
        <f t="shared" si="2"/>
        <v>7712.0093162305247</v>
      </c>
      <c r="F36" s="197">
        <f t="shared" si="3"/>
        <v>1.2127213812744322</v>
      </c>
      <c r="G36" s="196">
        <f t="shared" si="4"/>
        <v>394325.13064140885</v>
      </c>
      <c r="H36" s="5"/>
      <c r="I36" s="5"/>
      <c r="J36" s="5"/>
      <c r="K36" s="5"/>
      <c r="L36" s="3"/>
      <c r="M36" s="3"/>
    </row>
    <row r="37" spans="1:13" x14ac:dyDescent="0.3">
      <c r="A37" s="3"/>
      <c r="B37" s="182">
        <f>'ULTA Q Rev (Acual)'!B29</f>
        <v>40663</v>
      </c>
      <c r="C37" s="183">
        <f>'ULTA Q Rev (Acual)'!C29</f>
        <v>386006</v>
      </c>
      <c r="D37" s="196">
        <f t="shared" si="1"/>
        <v>403857.68747046083</v>
      </c>
      <c r="E37" s="197">
        <f t="shared" si="2"/>
        <v>8207.2017964196748</v>
      </c>
      <c r="F37" s="197">
        <f t="shared" si="3"/>
        <v>0.95302923161428421</v>
      </c>
      <c r="G37" s="196">
        <f t="shared" si="4"/>
        <v>372030.67167382309</v>
      </c>
      <c r="H37" s="5"/>
      <c r="I37" s="5"/>
      <c r="J37" s="5"/>
      <c r="K37" s="5"/>
      <c r="L37" s="3"/>
      <c r="M37" s="3"/>
    </row>
    <row r="38" spans="1:13" x14ac:dyDescent="0.3">
      <c r="A38" s="3"/>
      <c r="B38" s="182">
        <f>'ULTA Q Rev (Acual)'!B30</f>
        <v>40755</v>
      </c>
      <c r="C38" s="183">
        <f>'ULTA Q Rev (Acual)'!C30</f>
        <v>394567</v>
      </c>
      <c r="D38" s="196">
        <f t="shared" si="1"/>
        <v>405858.12128864904</v>
      </c>
      <c r="E38" s="197">
        <f t="shared" si="2"/>
        <v>7922.6897510763092</v>
      </c>
      <c r="F38" s="197">
        <f t="shared" si="3"/>
        <v>0.97381414378692566</v>
      </c>
      <c r="G38" s="196">
        <f t="shared" si="4"/>
        <v>402860.77780832723</v>
      </c>
      <c r="H38" s="5"/>
      <c r="I38" s="5"/>
      <c r="J38" s="5"/>
      <c r="K38" s="5"/>
      <c r="L38" s="3"/>
      <c r="M38" s="3"/>
    </row>
    <row r="39" spans="1:13" x14ac:dyDescent="0.3">
      <c r="A39" s="3"/>
      <c r="B39" s="182">
        <f>'ULTA Q Rev (Acual)'!B31</f>
        <v>40847</v>
      </c>
      <c r="C39" s="183">
        <f>'ULTA Q Rev (Acual)'!C31</f>
        <v>413067</v>
      </c>
      <c r="D39" s="196">
        <f t="shared" si="1"/>
        <v>404899.6390011725</v>
      </c>
      <c r="E39" s="197">
        <f t="shared" si="2"/>
        <v>7515.5856945694386</v>
      </c>
      <c r="F39" s="197">
        <f t="shared" si="3"/>
        <v>1.0226374225317778</v>
      </c>
      <c r="G39" s="196">
        <f t="shared" si="4"/>
        <v>425550.86086330423</v>
      </c>
      <c r="H39" s="5"/>
      <c r="I39" s="5"/>
      <c r="J39" s="5"/>
      <c r="K39" s="5"/>
      <c r="L39" s="3"/>
      <c r="M39" s="3"/>
    </row>
    <row r="40" spans="1:13" x14ac:dyDescent="0.3">
      <c r="A40" s="3"/>
      <c r="B40" s="182">
        <f>'ULTA Q Rev (Acual)'!B32</f>
        <v>40939</v>
      </c>
      <c r="C40" s="183">
        <f>'ULTA Q Rev (Acual)'!C32</f>
        <v>582511</v>
      </c>
      <c r="D40" s="196">
        <f t="shared" si="1"/>
        <v>462107.70697433798</v>
      </c>
      <c r="E40" s="197">
        <f t="shared" si="2"/>
        <v>9793.4394537010558</v>
      </c>
      <c r="F40" s="197">
        <f t="shared" si="3"/>
        <v>1.2462958680717893</v>
      </c>
      <c r="G40" s="196">
        <f t="shared" si="4"/>
        <v>500144.76095162547</v>
      </c>
      <c r="H40" s="5"/>
      <c r="I40" s="5"/>
      <c r="J40" s="5"/>
      <c r="K40" s="5"/>
      <c r="L40" s="3"/>
      <c r="M40" s="3"/>
    </row>
    <row r="41" spans="1:13" x14ac:dyDescent="0.3">
      <c r="A41" s="3"/>
      <c r="B41" s="182">
        <f>'ULTA Q Rev (Acual)'!B33</f>
        <v>41029</v>
      </c>
      <c r="C41" s="183">
        <f>'ULTA Q Rev (Acual)'!C33</f>
        <v>474098</v>
      </c>
      <c r="D41" s="196">
        <f t="shared" si="1"/>
        <v>490604.3745134151</v>
      </c>
      <c r="E41" s="197">
        <f t="shared" si="2"/>
        <v>10650.776749980985</v>
      </c>
      <c r="F41" s="197">
        <f t="shared" si="3"/>
        <v>0.96238312130472603</v>
      </c>
      <c r="G41" s="196">
        <f t="shared" si="4"/>
        <v>449735.58697821386</v>
      </c>
      <c r="H41" s="39"/>
      <c r="I41" s="39"/>
      <c r="J41" s="39"/>
      <c r="K41" s="39"/>
      <c r="L41" s="3"/>
      <c r="M41" s="36"/>
    </row>
    <row r="42" spans="1:13" x14ac:dyDescent="0.3">
      <c r="A42" s="3"/>
      <c r="B42" s="182">
        <f>'ULTA Q Rev (Acual)'!B34</f>
        <v>41121</v>
      </c>
      <c r="C42" s="183">
        <f>'ULTA Q Rev (Acual)'!C34</f>
        <v>481683</v>
      </c>
      <c r="D42" s="196">
        <f t="shared" si="1"/>
        <v>496411.85880596051</v>
      </c>
      <c r="E42" s="197">
        <f t="shared" si="2"/>
        <v>10428.765060790418</v>
      </c>
      <c r="F42" s="197">
        <f t="shared" si="3"/>
        <v>0.97136803654724457</v>
      </c>
      <c r="G42" s="196">
        <f t="shared" si="4"/>
        <v>488129.35594634997</v>
      </c>
      <c r="H42" s="39"/>
      <c r="I42" s="39"/>
      <c r="J42" s="39"/>
      <c r="K42" s="39"/>
      <c r="L42" s="3"/>
      <c r="M42" s="36"/>
    </row>
    <row r="43" spans="1:13" x14ac:dyDescent="0.3">
      <c r="A43" s="3"/>
      <c r="B43" s="182">
        <f>'ULTA Q Rev (Acual)'!B35</f>
        <v>41213</v>
      </c>
      <c r="C43" s="183">
        <f>'ULTA Q Rev (Acual)'!C35</f>
        <v>505640</v>
      </c>
      <c r="D43" s="196">
        <f t="shared" si="1"/>
        <v>497772.84343178628</v>
      </c>
      <c r="E43" s="197">
        <f t="shared" si="2"/>
        <v>10013.107061760231</v>
      </c>
      <c r="F43" s="197">
        <f t="shared" si="3"/>
        <v>1.0178412770725938</v>
      </c>
      <c r="G43" s="196">
        <f t="shared" si="4"/>
        <v>518314.18922549242</v>
      </c>
      <c r="H43" s="39"/>
      <c r="I43" s="39"/>
      <c r="J43" s="39"/>
      <c r="K43" s="39"/>
      <c r="L43" s="3"/>
      <c r="M43" s="36"/>
    </row>
    <row r="44" spans="1:13" x14ac:dyDescent="0.3">
      <c r="A44" s="3"/>
      <c r="B44" s="182">
        <f>'ULTA Q Rev (Acual)'!B36</f>
        <v>41365</v>
      </c>
      <c r="C44" s="183">
        <f>'ULTA Q Rev (Acual)'!C36</f>
        <v>758835</v>
      </c>
      <c r="D44" s="196">
        <f t="shared" si="1"/>
        <v>581745.60849683557</v>
      </c>
      <c r="E44" s="197">
        <f t="shared" si="2"/>
        <v>13403.343920172218</v>
      </c>
      <c r="F44" s="197">
        <f t="shared" si="3"/>
        <v>1.2870886951541398</v>
      </c>
      <c r="G44" s="196">
        <f t="shared" si="4"/>
        <v>632851.53196501313</v>
      </c>
      <c r="H44" s="3"/>
      <c r="I44" s="39"/>
      <c r="J44" s="39"/>
      <c r="K44" s="3"/>
      <c r="L44" s="3"/>
      <c r="M44" s="36"/>
    </row>
    <row r="45" spans="1:13" x14ac:dyDescent="0.3">
      <c r="A45" s="3"/>
      <c r="B45" s="182">
        <f>'ULTA Q Rev (Acual)'!B37</f>
        <v>41435</v>
      </c>
      <c r="C45" s="183">
        <f>'ULTA Q Rev (Acual)'!C37</f>
        <v>582712</v>
      </c>
      <c r="D45" s="196">
        <f t="shared" si="1"/>
        <v>602713.93344726961</v>
      </c>
      <c r="E45" s="197">
        <f t="shared" si="2"/>
        <v>13750.115095355863</v>
      </c>
      <c r="F45" s="197">
        <f t="shared" si="3"/>
        <v>0.96549301452743486</v>
      </c>
      <c r="G45" s="196">
        <f t="shared" si="4"/>
        <v>572761.30646831775</v>
      </c>
      <c r="H45" s="3"/>
      <c r="I45" s="39"/>
      <c r="J45" s="39"/>
      <c r="K45" s="3"/>
      <c r="L45" s="3"/>
      <c r="M45" s="36"/>
    </row>
    <row r="46" spans="1:13" x14ac:dyDescent="0.3">
      <c r="A46" s="3"/>
      <c r="B46" s="182">
        <f>'ULTA Q Rev (Acual)'!B38</f>
        <v>41528</v>
      </c>
      <c r="C46" s="183">
        <f>'ULTA Q Rev (Acual)'!C38</f>
        <v>600998</v>
      </c>
      <c r="D46" s="196">
        <f t="shared" si="1"/>
        <v>618109.46641652542</v>
      </c>
      <c r="E46" s="197">
        <f t="shared" si="2"/>
        <v>13825.539407395507</v>
      </c>
      <c r="F46" s="197">
        <f t="shared" si="3"/>
        <v>0.97203376250778262</v>
      </c>
      <c r="G46" s="196">
        <f t="shared" si="4"/>
        <v>598813.47243481537</v>
      </c>
      <c r="H46" s="3"/>
      <c r="I46" s="39"/>
      <c r="J46" s="39"/>
      <c r="K46" s="3"/>
      <c r="L46" s="3"/>
      <c r="M46" s="36"/>
    </row>
    <row r="47" spans="1:13" x14ac:dyDescent="0.3">
      <c r="A47" s="3"/>
      <c r="B47" s="182">
        <f>'ULTA Q Rev (Acual)'!B39</f>
        <v>41612</v>
      </c>
      <c r="C47" s="183">
        <f>'ULTA Q Rev (Acual)'!C39</f>
        <v>618781</v>
      </c>
      <c r="D47" s="196">
        <f t="shared" si="1"/>
        <v>614375.19533449959</v>
      </c>
      <c r="E47" s="197">
        <f t="shared" si="2"/>
        <v>13020.615231768326</v>
      </c>
      <c r="F47" s="197">
        <f t="shared" si="3"/>
        <v>1.0103515312583093</v>
      </c>
      <c r="G47" s="196">
        <f t="shared" si="4"/>
        <v>643209.5333546967</v>
      </c>
      <c r="H47" s="3"/>
      <c r="I47" s="39"/>
      <c r="J47" s="39"/>
      <c r="K47" s="3"/>
      <c r="L47" s="3"/>
      <c r="M47" s="36"/>
    </row>
    <row r="48" spans="1:13" x14ac:dyDescent="0.3">
      <c r="A48" s="3"/>
      <c r="B48" s="182">
        <f>'ULTA Q Rev (Acual)'!B40</f>
        <v>41728</v>
      </c>
      <c r="C48" s="183">
        <f>'ULTA Q Rev (Acual)'!C40</f>
        <v>868082</v>
      </c>
      <c r="D48" s="196">
        <f t="shared" si="1"/>
        <v>661825.79702941421</v>
      </c>
      <c r="E48" s="197">
        <f t="shared" si="2"/>
        <v>14598.851425569999</v>
      </c>
      <c r="F48" s="197">
        <f t="shared" si="3"/>
        <v>1.3043273154949588</v>
      </c>
      <c r="G48" s="196">
        <f t="shared" si="4"/>
        <v>807514.05516691168</v>
      </c>
      <c r="H48" s="3"/>
      <c r="I48" s="3"/>
      <c r="J48" s="3"/>
      <c r="K48" s="3"/>
      <c r="L48" s="3"/>
      <c r="M48" s="3"/>
    </row>
    <row r="49" spans="1:13" ht="15" x14ac:dyDescent="0.3">
      <c r="A49" s="120"/>
      <c r="B49" s="182">
        <f>'ULTA Q Rev (Acual)'!B41</f>
        <v>41794</v>
      </c>
      <c r="C49" s="183">
        <f>'ULTA Q Rev (Acual)'!C41</f>
        <v>713770</v>
      </c>
      <c r="D49" s="196">
        <f t="shared" si="1"/>
        <v>722412.91820282722</v>
      </c>
      <c r="E49" s="197">
        <f t="shared" si="2"/>
        <v>16706.907781736449</v>
      </c>
      <c r="F49" s="197">
        <f t="shared" si="3"/>
        <v>0.98131684316557743</v>
      </c>
      <c r="G49" s="196">
        <f t="shared" si="4"/>
        <v>653083.27293746301</v>
      </c>
      <c r="H49" s="39"/>
      <c r="I49" s="3"/>
      <c r="J49" s="3"/>
      <c r="K49" s="3"/>
      <c r="L49" s="3"/>
      <c r="M49" s="3"/>
    </row>
    <row r="50" spans="1:13" ht="15.5" x14ac:dyDescent="0.3">
      <c r="A50" s="121"/>
      <c r="B50" s="182">
        <f>'ULTA Q Rev (Acual)'!B42</f>
        <v>41823</v>
      </c>
      <c r="C50" s="183">
        <f>'ULTA Q Rev (Acual)'!C42</f>
        <v>734236</v>
      </c>
      <c r="D50" s="196">
        <f t="shared" si="1"/>
        <v>751002.35946240858</v>
      </c>
      <c r="E50" s="197">
        <f t="shared" si="2"/>
        <v>17251.591249122313</v>
      </c>
      <c r="F50" s="197">
        <f t="shared" si="3"/>
        <v>0.9759933501811453</v>
      </c>
      <c r="G50" s="196">
        <f t="shared" si="4"/>
        <v>718449.42539587303</v>
      </c>
      <c r="H50" s="39"/>
      <c r="I50" s="3"/>
      <c r="J50" s="3"/>
      <c r="K50" s="3"/>
      <c r="L50" s="3"/>
      <c r="M50" s="3"/>
    </row>
    <row r="51" spans="1:13" ht="15.5" x14ac:dyDescent="0.3">
      <c r="A51" s="121"/>
      <c r="B51" s="182">
        <f>'ULTA Q Rev (Acual)'!B43</f>
        <v>41976</v>
      </c>
      <c r="C51" s="183">
        <f>'ULTA Q Rev (Acual)'!C43</f>
        <v>745722</v>
      </c>
      <c r="D51" s="196">
        <f t="shared" si="1"/>
        <v>746178.48608722852</v>
      </c>
      <c r="E51" s="197">
        <f t="shared" si="2"/>
        <v>16239.673997793872</v>
      </c>
      <c r="F51" s="197">
        <f t="shared" si="3"/>
        <v>1.0026559664085282</v>
      </c>
      <c r="G51" s="196">
        <f t="shared" si="4"/>
        <v>776206.55549664097</v>
      </c>
      <c r="H51" s="39"/>
      <c r="I51" s="3"/>
      <c r="J51" s="3"/>
      <c r="K51" s="3"/>
      <c r="L51" s="3"/>
      <c r="M51" s="3"/>
    </row>
    <row r="52" spans="1:13" ht="15.5" x14ac:dyDescent="0.3">
      <c r="A52" s="121"/>
      <c r="B52" s="182">
        <f>'ULTA Q Rev (Acual)'!B44</f>
        <v>42091</v>
      </c>
      <c r="C52" s="183">
        <f>'ULTA Q Rev (Acual)'!C44</f>
        <v>1047641</v>
      </c>
      <c r="D52" s="196">
        <f t="shared" si="1"/>
        <v>792259.10541995347</v>
      </c>
      <c r="E52" s="197">
        <f t="shared" si="2"/>
        <v>17607.553129412376</v>
      </c>
      <c r="F52" s="197">
        <f t="shared" si="3"/>
        <v>1.3169756340749796</v>
      </c>
      <c r="G52" s="196">
        <f t="shared" si="4"/>
        <v>994442.83202830306</v>
      </c>
      <c r="H52" s="39"/>
      <c r="I52" s="3"/>
      <c r="J52" s="3"/>
      <c r="K52" s="3"/>
      <c r="L52" s="3"/>
      <c r="M52" s="3"/>
    </row>
    <row r="53" spans="1:13" x14ac:dyDescent="0.3">
      <c r="A53" s="3"/>
      <c r="B53" s="182">
        <f>'ULTA Q Rev (Acual)'!B45</f>
        <v>42157</v>
      </c>
      <c r="C53" s="183">
        <f>'ULTA Q Rev (Acual)'!C45</f>
        <v>868122</v>
      </c>
      <c r="D53" s="196">
        <f t="shared" si="1"/>
        <v>864581.81937671942</v>
      </c>
      <c r="E53" s="197">
        <f t="shared" si="2"/>
        <v>20115.641457005568</v>
      </c>
      <c r="F53" s="197">
        <f t="shared" si="3"/>
        <v>0.99730548974895994</v>
      </c>
      <c r="G53" s="196">
        <f t="shared" si="4"/>
        <v>794735.79275271832</v>
      </c>
      <c r="H53" s="3"/>
      <c r="I53" s="3"/>
      <c r="J53" s="3"/>
      <c r="K53" s="3"/>
      <c r="L53" s="3"/>
      <c r="M53" s="3"/>
    </row>
    <row r="54" spans="1:13" x14ac:dyDescent="0.3">
      <c r="A54" s="3"/>
      <c r="B54" s="182">
        <f>'ULTA Q Rev (Acual)'!B46</f>
        <v>42241</v>
      </c>
      <c r="C54" s="183">
        <f>'ULTA Q Rev (Acual)'!C46</f>
        <v>876999</v>
      </c>
      <c r="D54" s="196">
        <f t="shared" si="1"/>
        <v>894847.77465284313</v>
      </c>
      <c r="E54" s="197">
        <f t="shared" si="2"/>
        <v>20580.921705225381</v>
      </c>
      <c r="F54" s="197">
        <f t="shared" si="3"/>
        <v>0.97884356789217608</v>
      </c>
      <c r="G54" s="196">
        <f t="shared" si="4"/>
        <v>863458.83869585977</v>
      </c>
      <c r="H54" s="3"/>
      <c r="I54" s="3"/>
      <c r="J54" s="3"/>
      <c r="K54" s="3"/>
      <c r="L54" s="3"/>
      <c r="M54" s="3"/>
    </row>
    <row r="55" spans="1:13" x14ac:dyDescent="0.3">
      <c r="B55" s="182">
        <f>'ULTA Q Rev (Acual)'!B47</f>
        <v>42339</v>
      </c>
      <c r="C55" s="183">
        <f>'ULTA Q Rev (Acual)'!C47</f>
        <v>910700</v>
      </c>
      <c r="D55" s="196">
        <f t="shared" si="1"/>
        <v>910203.93748173839</v>
      </c>
      <c r="E55" s="197">
        <f t="shared" si="2"/>
        <v>20341.423976368089</v>
      </c>
      <c r="F55" s="197">
        <f t="shared" si="3"/>
        <v>1.0011741979240725</v>
      </c>
      <c r="G55" s="196">
        <f t="shared" si="4"/>
        <v>917860.04422499822</v>
      </c>
    </row>
    <row r="56" spans="1:13" x14ac:dyDescent="0.3">
      <c r="B56" s="182">
        <f>'ULTA Q Rev (Acual)'!B48</f>
        <v>42463</v>
      </c>
      <c r="C56" s="183">
        <f>'ULTA Q Rev (Acual)'!C48</f>
        <v>1268295</v>
      </c>
      <c r="D56" s="196">
        <f t="shared" si="1"/>
        <v>954317.11819791037</v>
      </c>
      <c r="E56" s="197">
        <f t="shared" si="2"/>
        <v>21431.097564162432</v>
      </c>
      <c r="F56" s="197">
        <f t="shared" si="3"/>
        <v>1.3254215581269446</v>
      </c>
      <c r="G56" s="196">
        <f t="shared" si="4"/>
        <v>1225505.5674418209</v>
      </c>
    </row>
    <row r="57" spans="1:13" x14ac:dyDescent="0.3">
      <c r="B57" s="182">
        <f>'ULTA Q Rev (Acual)'!B49</f>
        <v>42522</v>
      </c>
      <c r="C57" s="183">
        <f>'ULTA Q Rev (Acual)'!C49</f>
        <v>1073716</v>
      </c>
      <c r="D57" s="196">
        <f t="shared" si="1"/>
        <v>1049548.6784409762</v>
      </c>
      <c r="E57" s="197">
        <f t="shared" si="2"/>
        <v>24814.037067894991</v>
      </c>
      <c r="F57" s="197">
        <f t="shared" si="3"/>
        <v>1.0153599943653986</v>
      </c>
      <c r="G57" s="196">
        <f t="shared" si="4"/>
        <v>973119.05219226785</v>
      </c>
    </row>
    <row r="58" spans="1:13" x14ac:dyDescent="0.3">
      <c r="B58" s="182">
        <f>'ULTA Q Rev (Acual)'!B50</f>
        <v>42613</v>
      </c>
      <c r="C58" s="183">
        <f>'ULTA Q Rev (Acual)'!C50</f>
        <v>1069215</v>
      </c>
      <c r="D58" s="196">
        <f t="shared" si="1"/>
        <v>1087504.5696606145</v>
      </c>
      <c r="E58" s="197">
        <f t="shared" si="2"/>
        <v>25416.446537272655</v>
      </c>
      <c r="F58" s="197">
        <f t="shared" si="3"/>
        <v>0.98188893541897426</v>
      </c>
      <c r="G58" s="196">
        <f t="shared" si="4"/>
        <v>1051633.0336590305</v>
      </c>
    </row>
    <row r="59" spans="1:13" x14ac:dyDescent="0.3">
      <c r="B59" s="182">
        <f>'ULTA Q Rev (Acual)'!B51</f>
        <v>42704</v>
      </c>
      <c r="C59" s="183">
        <f>'ULTA Q Rev (Acual)'!C51</f>
        <v>1131232</v>
      </c>
      <c r="D59" s="196">
        <f t="shared" si="1"/>
        <v>1125347.5183481122</v>
      </c>
      <c r="E59" s="197">
        <f t="shared" si="2"/>
        <v>25986.064985331941</v>
      </c>
      <c r="F59" s="197">
        <f t="shared" si="3"/>
        <v>1.0040204460576199</v>
      </c>
      <c r="G59" s="196">
        <f t="shared" si="4"/>
        <v>1114227.8057447635</v>
      </c>
    </row>
    <row r="60" spans="1:13" x14ac:dyDescent="0.3">
      <c r="B60" s="182">
        <f>'ULTA Q Rev (Acual)'!B52</f>
        <v>42827</v>
      </c>
      <c r="C60" s="183">
        <f>'ULTA Q Rev (Acual)'!C52</f>
        <v>1580574</v>
      </c>
      <c r="D60" s="196">
        <f t="shared" si="1"/>
        <v>1181457.7838387419</v>
      </c>
      <c r="E60" s="197">
        <f t="shared" si="2"/>
        <v>27366.928251069483</v>
      </c>
      <c r="F60" s="197">
        <f t="shared" si="3"/>
        <v>1.3341222185783161</v>
      </c>
      <c r="G60" s="196">
        <f t="shared" si="4"/>
        <v>1526002.351945692</v>
      </c>
    </row>
    <row r="61" spans="1:13" x14ac:dyDescent="0.3">
      <c r="B61" s="182">
        <f>'ULTA Q Rev (Acual)'!B53</f>
        <v>42887</v>
      </c>
      <c r="C61" s="183">
        <f>'ULTA Q Rev (Acual)'!C53</f>
        <v>1314879</v>
      </c>
      <c r="D61" s="196">
        <f t="shared" si="1"/>
        <v>1271865.94692396</v>
      </c>
      <c r="E61" s="197">
        <f t="shared" si="2"/>
        <v>30256.67549577729</v>
      </c>
      <c r="F61" s="197">
        <f t="shared" si="3"/>
        <v>1.0283169892807322</v>
      </c>
      <c r="G61" s="196">
        <f t="shared" si="4"/>
        <v>1227392.2528562655</v>
      </c>
    </row>
    <row r="62" spans="1:13" x14ac:dyDescent="0.3">
      <c r="B62" s="182">
        <f>'ULTA Q Rev (Acual)'!B54</f>
        <v>42977</v>
      </c>
      <c r="C62" s="183">
        <f>'ULTA Q Rev (Acual)'!C54</f>
        <v>1289854</v>
      </c>
      <c r="D62" s="196">
        <f t="shared" si="1"/>
        <v>1310553.3323621447</v>
      </c>
      <c r="E62" s="197">
        <f t="shared" si="2"/>
        <v>30643.130819679125</v>
      </c>
      <c r="F62" s="197">
        <f t="shared" si="3"/>
        <v>0.98351513065082974</v>
      </c>
      <c r="G62" s="196">
        <f t="shared" si="4"/>
        <v>1278539.7955126788</v>
      </c>
    </row>
    <row r="63" spans="1:13" x14ac:dyDescent="0.3">
      <c r="B63" s="182">
        <f>'ULTA Q Rev (Acual)'!B55</f>
        <v>43075</v>
      </c>
      <c r="C63" s="183">
        <f>'ULTA Q Rev (Acual)'!C55</f>
        <v>1342181</v>
      </c>
      <c r="D63" s="196">
        <f t="shared" si="1"/>
        <v>1337984.5106045385</v>
      </c>
      <c r="E63" s="197">
        <f t="shared" si="2"/>
        <v>30495.898121354589</v>
      </c>
      <c r="F63" s="197">
        <f t="shared" si="3"/>
        <v>1.0033999179413513</v>
      </c>
      <c r="G63" s="196">
        <f t="shared" si="4"/>
        <v>1346588.671214717</v>
      </c>
    </row>
    <row r="64" spans="1:13" x14ac:dyDescent="0.3">
      <c r="B64" s="182">
        <f>'ULTA Q Rev (Acual)'!B56</f>
        <v>43186</v>
      </c>
      <c r="C64" s="183">
        <f>'ULTA Q Rev (Acual)'!C56</f>
        <v>1937592</v>
      </c>
      <c r="D64" s="196">
        <f t="shared" si="1"/>
        <v>1429832.2800037893</v>
      </c>
      <c r="E64" s="197">
        <f t="shared" si="2"/>
        <v>33308.206627832835</v>
      </c>
      <c r="F64" s="197">
        <f t="shared" si="3"/>
        <v>1.3488602406172874</v>
      </c>
      <c r="G64" s="196">
        <f t="shared" si="4"/>
        <v>1825720.1189703494</v>
      </c>
    </row>
    <row r="65" spans="2:7" x14ac:dyDescent="0.3">
      <c r="B65" s="182">
        <f>'ULTA Q Rev (Acual)'!B57</f>
        <v>43250</v>
      </c>
      <c r="C65" s="183">
        <f>'ULTA Q Rev (Acual)'!C57</f>
        <v>1543667</v>
      </c>
      <c r="D65" s="196">
        <f t="shared" si="1"/>
        <v>1490956.459332905</v>
      </c>
      <c r="E65" s="197">
        <f t="shared" si="2"/>
        <v>34583.263036291035</v>
      </c>
      <c r="F65" s="197">
        <f t="shared" si="3"/>
        <v>1.0332561956273998</v>
      </c>
      <c r="G65" s="196">
        <f t="shared" si="4"/>
        <v>1504572.2201077749</v>
      </c>
    </row>
    <row r="66" spans="2:7" x14ac:dyDescent="0.3">
      <c r="B66" s="182">
        <f>'ULTA Q Rev (Acual)'!B58</f>
        <v>43341</v>
      </c>
      <c r="C66" s="183">
        <f>'ULTA Q Rev (Acual)'!C58</f>
        <v>1488221</v>
      </c>
      <c r="D66" s="196">
        <f t="shared" si="1"/>
        <v>1516486.0187388258</v>
      </c>
      <c r="E66" s="197">
        <f t="shared" si="2"/>
        <v>34168.250303924768</v>
      </c>
      <c r="F66" s="197">
        <f t="shared" si="3"/>
        <v>0.98200341615550013</v>
      </c>
      <c r="G66" s="196">
        <f t="shared" si="4"/>
        <v>1500391.3993589703</v>
      </c>
    </row>
    <row r="67" spans="2:7" x14ac:dyDescent="0.3">
      <c r="B67" s="182">
        <f>'ULTA Q Rev (Acual)'!B59</f>
        <v>43439</v>
      </c>
      <c r="C67" s="183">
        <f>'ULTA Q Rev (Acual)'!C59</f>
        <v>1560011</v>
      </c>
      <c r="D67" s="196">
        <f t="shared" si="1"/>
        <v>1553632.6588965352</v>
      </c>
      <c r="E67" s="197">
        <f t="shared" si="2"/>
        <v>34304.776720266113</v>
      </c>
      <c r="F67" s="197">
        <f t="shared" si="3"/>
        <v>1.0038951492938146</v>
      </c>
      <c r="G67" s="196">
        <f t="shared" si="4"/>
        <v>1555926.366312902</v>
      </c>
    </row>
    <row r="68" spans="2:7" x14ac:dyDescent="0.3">
      <c r="B68" s="182">
        <f>'ULTA Q Rev (Acual)'!B60</f>
        <v>43550</v>
      </c>
      <c r="C68" s="183">
        <f>'ULTA Q Rev (Acual)'!C60</f>
        <v>2124716</v>
      </c>
      <c r="D68" s="196">
        <f t="shared" si="1"/>
        <v>1578613.4173922366</v>
      </c>
      <c r="E68" s="197">
        <f t="shared" si="2"/>
        <v>33877.37303686863</v>
      </c>
      <c r="F68" s="197">
        <f t="shared" si="3"/>
        <v>1.3468091013637553</v>
      </c>
      <c r="G68" s="196">
        <f t="shared" si="4"/>
        <v>2141905.6714912769</v>
      </c>
    </row>
    <row r="69" spans="2:7" x14ac:dyDescent="0.3">
      <c r="B69" s="182">
        <f>'ULTA Q Rev (Acual)'!B61</f>
        <v>43613</v>
      </c>
      <c r="C69" s="183">
        <f>'ULTA Q Rev (Acual)'!C61</f>
        <v>1743029</v>
      </c>
      <c r="D69" s="196">
        <f t="shared" si="1"/>
        <v>1666952.7998598649</v>
      </c>
      <c r="E69" s="197">
        <f t="shared" si="2"/>
        <v>36373.857157267499</v>
      </c>
      <c r="F69" s="197">
        <f t="shared" si="3"/>
        <v>1.0419473856390418</v>
      </c>
      <c r="G69" s="196">
        <f t="shared" si="4"/>
        <v>1666116.0996029961</v>
      </c>
    </row>
    <row r="70" spans="2:7" x14ac:dyDescent="0.3">
      <c r="B70" s="182">
        <f>'ULTA Q Rev (Acual)'!B62</f>
        <v>43704</v>
      </c>
      <c r="C70" s="183">
        <f>'ULTA Q Rev (Acual)'!C62</f>
        <v>1666607</v>
      </c>
      <c r="D70" s="196">
        <f t="shared" si="1"/>
        <v>1698807.4423250696</v>
      </c>
      <c r="E70" s="197">
        <f t="shared" si="2"/>
        <v>36166.700869180997</v>
      </c>
      <c r="F70" s="197">
        <f t="shared" si="3"/>
        <v>0.98133085359802397</v>
      </c>
      <c r="G70" s="196">
        <f t="shared" si="4"/>
        <v>1672672.5960195519</v>
      </c>
    </row>
    <row r="71" spans="2:7" x14ac:dyDescent="0.3">
      <c r="B71" s="182">
        <f>'ULTA Q Rev (Acual)'!B63</f>
        <v>43802</v>
      </c>
      <c r="C71" s="183">
        <f>'ULTA Q Rev (Acual)'!C63</f>
        <v>1682514</v>
      </c>
      <c r="D71" s="196">
        <f t="shared" si="1"/>
        <v>1691815.3991592817</v>
      </c>
      <c r="E71" s="197">
        <f t="shared" si="2"/>
        <v>34188.347145809093</v>
      </c>
      <c r="F71" s="197">
        <f t="shared" si="3"/>
        <v>0.99730181571908394</v>
      </c>
      <c r="G71" s="196">
        <f t="shared" si="4"/>
        <v>1741732.1265029002</v>
      </c>
    </row>
    <row r="72" spans="2:7" x14ac:dyDescent="0.3">
      <c r="B72" s="182">
        <f>'ULTA Q Rev (Acual)'!B64</f>
        <v>43915</v>
      </c>
      <c r="C72" s="183">
        <f>'ULTA Q Rev (Acual)'!C64</f>
        <v>2305918</v>
      </c>
      <c r="D72" s="196">
        <f t="shared" si="1"/>
        <v>1715856.1551297074</v>
      </c>
      <c r="E72" s="197">
        <f t="shared" si="2"/>
        <v>33723.191700858937</v>
      </c>
      <c r="F72" s="197">
        <f t="shared" si="3"/>
        <v>1.3447584633857845</v>
      </c>
      <c r="G72" s="196">
        <f t="shared" si="4"/>
        <v>2324597.5545116346</v>
      </c>
    </row>
    <row r="73" spans="2:7" x14ac:dyDescent="0.3">
      <c r="B73" s="182">
        <f>'ULTA Q Rev (Acual)'!B65</f>
        <v>43978</v>
      </c>
      <c r="C73" s="183">
        <f>'ULTA Q Rev (Acual)'!C65</f>
        <v>1173210</v>
      </c>
      <c r="D73" s="196">
        <f t="shared" si="1"/>
        <v>1293322.4700521044</v>
      </c>
      <c r="E73" s="197">
        <f t="shared" si="2"/>
        <v>12808.832138927362</v>
      </c>
      <c r="F73" s="197">
        <f t="shared" si="3"/>
        <v>0.94731293657935367</v>
      </c>
      <c r="G73" s="196">
        <f t="shared" si="4"/>
        <v>1822969.6263981711</v>
      </c>
    </row>
    <row r="74" spans="2:7" x14ac:dyDescent="0.3">
      <c r="B74" s="182">
        <f>'ULTA Q Rev (Acual)'!B66</f>
        <v>44068</v>
      </c>
      <c r="C74" s="183">
        <f>'ULTA Q Rev (Acual)'!C66</f>
        <v>1228009</v>
      </c>
      <c r="D74" s="196">
        <f t="shared" si="1"/>
        <v>1266066.0300784304</v>
      </c>
      <c r="E74" s="197">
        <f t="shared" si="2"/>
        <v>10972.280078986703</v>
      </c>
      <c r="F74" s="197">
        <f t="shared" si="3"/>
        <v>0.97333567697222256</v>
      </c>
      <c r="G74" s="196">
        <f t="shared" si="4"/>
        <v>1281746.9456902239</v>
      </c>
    </row>
    <row r="75" spans="2:7" x14ac:dyDescent="0.3">
      <c r="B75" s="182">
        <f>'ULTA Q Rev (Acual)'!B67</f>
        <v>44167</v>
      </c>
      <c r="C75" s="183">
        <f>'ULTA Q Rev (Acual)'!C67</f>
        <v>1552033</v>
      </c>
      <c r="D75" s="196">
        <f t="shared" si="1"/>
        <v>1481309.9567545701</v>
      </c>
      <c r="E75" s="197">
        <f t="shared" si="2"/>
        <v>20335.888350287503</v>
      </c>
      <c r="F75" s="197">
        <f t="shared" si="3"/>
        <v>1.0327088560751005</v>
      </c>
      <c r="G75" s="196">
        <f t="shared" si="4"/>
        <v>1273592.6254628228</v>
      </c>
    </row>
    <row r="76" spans="2:7" x14ac:dyDescent="0.3">
      <c r="B76" s="182">
        <f>'ULTA Q Rev (Acual)'!B68</f>
        <v>44279</v>
      </c>
      <c r="C76" s="183">
        <f>'ULTA Q Rev (Acual)'!C68</f>
        <v>2198701</v>
      </c>
      <c r="D76" s="196">
        <f t="shared" si="1"/>
        <v>1599225.5911878038</v>
      </c>
      <c r="E76" s="197">
        <f t="shared" si="2"/>
        <v>24808.84645658614</v>
      </c>
      <c r="F76" s="197">
        <f t="shared" si="3"/>
        <v>1.365883385072395</v>
      </c>
      <c r="G76" s="196">
        <f t="shared" si="4"/>
        <v>2019350.9592128561</v>
      </c>
    </row>
    <row r="77" spans="2:7" x14ac:dyDescent="0.3">
      <c r="B77" s="182">
        <f>'ULTA Q Rev (Acual)'!B69</f>
        <v>44342</v>
      </c>
      <c r="C77" s="183">
        <f>'ULTA Q Rev (Acual)'!C69</f>
        <v>1938519</v>
      </c>
      <c r="D77" s="196">
        <f t="shared" si="1"/>
        <v>1933009.5358269338</v>
      </c>
      <c r="E77" s="197">
        <f t="shared" si="2"/>
        <v>38971.956379881609</v>
      </c>
      <c r="F77" s="197">
        <f t="shared" si="3"/>
        <v>0.98629670505425482</v>
      </c>
      <c r="G77" s="196">
        <f t="shared" si="4"/>
        <v>1538468.8322309062</v>
      </c>
    </row>
    <row r="78" spans="2:7" x14ac:dyDescent="0.3">
      <c r="B78" s="182">
        <f>'ULTA Q Rev (Acual)'!B70</f>
        <v>44433</v>
      </c>
      <c r="C78" s="183">
        <f>'ULTA Q Rev (Acual)'!C70</f>
        <v>1967207</v>
      </c>
      <c r="D78" s="196">
        <f t="shared" si="1"/>
        <v>2007917.6695678777</v>
      </c>
      <c r="E78" s="197">
        <f t="shared" si="2"/>
        <v>40619.234860191587</v>
      </c>
      <c r="F78" s="197">
        <f t="shared" si="3"/>
        <v>0.97782054313645139</v>
      </c>
      <c r="G78" s="196">
        <f t="shared" si="4"/>
        <v>1919399.9406938143</v>
      </c>
    </row>
    <row r="79" spans="2:7" x14ac:dyDescent="0.3">
      <c r="B79" s="182">
        <f>'ULTA Q Rev (Acual)'!B71</f>
        <v>44531</v>
      </c>
      <c r="C79" s="183">
        <f>'ULTA Q Rev (Acual)'!C71</f>
        <v>1995775</v>
      </c>
      <c r="D79" s="196">
        <f t="shared" si="1"/>
        <v>1963684.82363297</v>
      </c>
      <c r="E79" s="197">
        <f t="shared" si="2"/>
        <v>36729.700219405328</v>
      </c>
      <c r="F79" s="197">
        <f t="shared" si="3"/>
        <v>1.0212201932680802</v>
      </c>
      <c r="G79" s="196">
        <f t="shared" si="4"/>
        <v>2115542.2031995389</v>
      </c>
    </row>
    <row r="80" spans="2:7" x14ac:dyDescent="0.3">
      <c r="B80" s="182">
        <f>'ULTA Q Rev (Acual)'!B72</f>
        <v>44646</v>
      </c>
      <c r="C80" s="183">
        <f>'ULTA Q Rev (Acual)'!C72</f>
        <v>2729388</v>
      </c>
      <c r="D80" s="196">
        <f t="shared" si="1"/>
        <v>1998837.0271033614</v>
      </c>
      <c r="E80" s="197">
        <f t="shared" si="2"/>
        <v>36657.389343896764</v>
      </c>
      <c r="F80" s="197">
        <f t="shared" si="3"/>
        <v>1.3656058578572234</v>
      </c>
      <c r="G80" s="196">
        <f t="shared" si="4"/>
        <v>2732332.9613874657</v>
      </c>
    </row>
    <row r="81" spans="1:7" x14ac:dyDescent="0.3">
      <c r="B81" s="182">
        <f>'ULTA Q Rev (Acual)'!B73</f>
        <v>44706</v>
      </c>
      <c r="C81" s="183">
        <f>'ULTA Q Rev (Acual)'!C73</f>
        <v>2345901</v>
      </c>
      <c r="D81" s="196">
        <f t="shared" si="1"/>
        <v>2286449.7012557792</v>
      </c>
      <c r="E81" s="197">
        <f t="shared" si="2"/>
        <v>48160.928967258595</v>
      </c>
      <c r="F81" s="197">
        <f t="shared" si="3"/>
        <v>1.0141671013890377</v>
      </c>
      <c r="G81" s="196">
        <f t="shared" si="4"/>
        <v>2007601.4360982638</v>
      </c>
    </row>
    <row r="82" spans="1:7" x14ac:dyDescent="0.3">
      <c r="B82" s="182">
        <f>'ULTA Q Rev (Acual)'!B74</f>
        <v>44797</v>
      </c>
      <c r="C82" s="183">
        <f>'ULTA Q Rev (Acual)'!C74</f>
        <v>2297113</v>
      </c>
      <c r="D82" s="196">
        <f t="shared" ref="D82:D95" si="5">$E$5*(C82/F78)+(1-$E$5)*(D81+E81)</f>
        <v>2345297.6260579396</v>
      </c>
      <c r="E82" s="197">
        <f t="shared" ref="E82:E95" si="6">$E$6*(D82-D81)+(1-$E$6)*E81</f>
        <v>48650.810183090718</v>
      </c>
      <c r="F82" s="197">
        <f t="shared" ref="F82:F95" si="7">$E$7*(C82/D82)+(1-$E$7)*F78</f>
        <v>0.97896768651295418</v>
      </c>
      <c r="G82" s="196">
        <f t="shared" ref="G82:G95" si="8">SUM(D81:E81)*F78</f>
        <v>2282830.2344568237</v>
      </c>
    </row>
    <row r="83" spans="1:7" x14ac:dyDescent="0.3">
      <c r="B83" s="182">
        <f>'ULTA Q Rev (Acual)'!B75</f>
        <v>44895</v>
      </c>
      <c r="C83" s="183">
        <f>'ULTA Q Rev (Acual)'!C75</f>
        <v>2338793</v>
      </c>
      <c r="D83" s="196">
        <f t="shared" si="5"/>
        <v>2318037.1169958506</v>
      </c>
      <c r="E83" s="197">
        <f t="shared" si="6"/>
        <v>45171.111122499569</v>
      </c>
      <c r="F83" s="197">
        <f t="shared" si="7"/>
        <v>1.0126101285544131</v>
      </c>
      <c r="G83" s="196">
        <f t="shared" si="8"/>
        <v>2444748.4847318833</v>
      </c>
    </row>
    <row r="84" spans="1:7" x14ac:dyDescent="0.3">
      <c r="B84" s="182">
        <f>'ULTA Q Rev (Acual)'!B76</f>
        <v>45012</v>
      </c>
      <c r="C84" s="183">
        <f>'ULTA Q Rev (Acual)'!C76</f>
        <v>3226773</v>
      </c>
      <c r="D84" s="196">
        <f t="shared" si="5"/>
        <v>2362973.5617310889</v>
      </c>
      <c r="E84" s="197">
        <f t="shared" si="6"/>
        <v>45160.354249671844</v>
      </c>
      <c r="F84" s="197">
        <f t="shared" si="7"/>
        <v>1.3655709423573232</v>
      </c>
      <c r="G84" s="196">
        <f t="shared" si="8"/>
        <v>3227210.9996548085</v>
      </c>
    </row>
    <row r="85" spans="1:7" x14ac:dyDescent="0.3">
      <c r="B85" s="182">
        <f>'ULTA Q Rev (Acual)'!B77</f>
        <v>45076</v>
      </c>
      <c r="C85" s="183">
        <f>'ULTA Q Rev (Acual)'!C77</f>
        <v>2634263</v>
      </c>
      <c r="D85" s="196">
        <f t="shared" si="5"/>
        <v>2546657.3239581031</v>
      </c>
      <c r="E85" s="197">
        <f t="shared" si="6"/>
        <v>51510.128926249476</v>
      </c>
      <c r="F85" s="197">
        <f t="shared" si="7"/>
        <v>1.0283695440273111</v>
      </c>
      <c r="G85" s="196">
        <f t="shared" si="8"/>
        <v>2442250.1933268406</v>
      </c>
    </row>
    <row r="86" spans="1:7" x14ac:dyDescent="0.3">
      <c r="B86" s="182">
        <f>'ULTA Q Rev (Acual)'!B78</f>
        <v>45167</v>
      </c>
      <c r="C86" s="183">
        <f>'ULTA Q Rev (Acual)'!C78</f>
        <v>2529809</v>
      </c>
      <c r="D86" s="196">
        <f t="shared" si="5"/>
        <v>2587918.8186836964</v>
      </c>
      <c r="E86" s="197">
        <f t="shared" si="6"/>
        <v>51040.341769933788</v>
      </c>
      <c r="F86" s="197">
        <f t="shared" si="7"/>
        <v>0.97796956235016774</v>
      </c>
      <c r="G86" s="196">
        <f t="shared" si="8"/>
        <v>2543521.9805234498</v>
      </c>
    </row>
    <row r="87" spans="1:7" x14ac:dyDescent="0.3">
      <c r="B87" s="182">
        <f>'ULTA Q Rev (Acual)'!B79</f>
        <v>45265</v>
      </c>
      <c r="C87" s="183">
        <f>'ULTA Q Rev (Acual)'!C79</f>
        <v>2488933</v>
      </c>
      <c r="D87" s="196">
        <f t="shared" si="5"/>
        <v>2506515.3608696326</v>
      </c>
      <c r="E87" s="197">
        <f t="shared" si="6"/>
        <v>44969.250270324213</v>
      </c>
      <c r="F87" s="197">
        <f t="shared" si="7"/>
        <v>0.99883472290423581</v>
      </c>
      <c r="G87" s="196">
        <f t="shared" si="8"/>
        <v>2672236.7747167964</v>
      </c>
    </row>
    <row r="88" spans="1:7" x14ac:dyDescent="0.3">
      <c r="B88" s="182">
        <f>'ULTA Q Rev (Acual)'!B80</f>
        <v>45378</v>
      </c>
      <c r="C88" s="183">
        <f>'ULTA Q Rev (Acual)'!C80</f>
        <v>3554298</v>
      </c>
      <c r="D88" s="196">
        <f t="shared" si="5"/>
        <v>2589024.0547861406</v>
      </c>
      <c r="E88" s="197">
        <f t="shared" si="6"/>
        <v>46690.020875941562</v>
      </c>
      <c r="F88" s="197">
        <f t="shared" si="7"/>
        <v>1.3706685555944833</v>
      </c>
      <c r="G88" s="196">
        <f t="shared" si="8"/>
        <v>3484233.2448445992</v>
      </c>
    </row>
    <row r="89" spans="1:7" x14ac:dyDescent="0.3">
      <c r="B89" s="182">
        <f>'ULTA Q Rev (Acual)'!B81</f>
        <v>45441</v>
      </c>
      <c r="C89" s="183">
        <f>'ULTA Q Rev (Acual)'!C81</f>
        <v>2725848</v>
      </c>
      <c r="D89" s="196">
        <f t="shared" si="5"/>
        <v>2646642.1131509766</v>
      </c>
      <c r="E89" s="197">
        <f t="shared" si="6"/>
        <v>47190.951200461321</v>
      </c>
      <c r="F89" s="197">
        <f t="shared" si="7"/>
        <v>1.0294627375059198</v>
      </c>
      <c r="G89" s="196">
        <f t="shared" si="8"/>
        <v>2710488.082174981</v>
      </c>
    </row>
    <row r="90" spans="1:7" x14ac:dyDescent="0.3">
      <c r="B90" s="182">
        <f>'ULTA Q Rev (Acual)'!B82</f>
        <v>45532</v>
      </c>
      <c r="C90" s="183">
        <f>'ULTA Q Rev (Acual)'!C82</f>
        <v>2552087</v>
      </c>
      <c r="D90" s="196">
        <f t="shared" si="5"/>
        <v>2632187.3330563996</v>
      </c>
      <c r="E90" s="197">
        <f t="shared" si="6"/>
        <v>44365.172444279051</v>
      </c>
      <c r="F90" s="197">
        <f t="shared" si="7"/>
        <v>0.97207281635218301</v>
      </c>
      <c r="G90" s="196">
        <f t="shared" si="8"/>
        <v>2634486.7429881874</v>
      </c>
    </row>
    <row r="91" spans="1:7" x14ac:dyDescent="0.3">
      <c r="B91" s="182">
        <f>'ULTA Q Rev (Acual)'!B83</f>
        <v>45631</v>
      </c>
      <c r="C91" s="183">
        <f>'ULTA Q Rev (Acual)'!C83</f>
        <v>2530100</v>
      </c>
      <c r="D91" s="196">
        <f t="shared" si="5"/>
        <v>2571560.3607621752</v>
      </c>
      <c r="E91" s="197">
        <f t="shared" si="6"/>
        <v>39552.437386467245</v>
      </c>
      <c r="F91" s="197">
        <f t="shared" si="7"/>
        <v>0.98833556216396778</v>
      </c>
      <c r="G91" s="196">
        <f t="shared" si="8"/>
        <v>2673433.5801704084</v>
      </c>
    </row>
    <row r="92" spans="1:7" x14ac:dyDescent="0.3">
      <c r="B92" s="182">
        <f>'ULTA Q Rev (Acual)'!B84</f>
        <v>45743</v>
      </c>
      <c r="C92" s="183">
        <f>'ULTA Q Rev (Acual)'!C84</f>
        <v>3487619</v>
      </c>
      <c r="D92" s="196">
        <f t="shared" si="5"/>
        <v>2562350.4812169503</v>
      </c>
      <c r="E92" s="197">
        <f t="shared" si="6"/>
        <v>37317.221477869643</v>
      </c>
      <c r="F92" s="197">
        <f t="shared" si="7"/>
        <v>1.3639530437656713</v>
      </c>
      <c r="G92" s="196">
        <f t="shared" si="8"/>
        <v>3578970.207532669</v>
      </c>
    </row>
    <row r="93" spans="1:7" x14ac:dyDescent="0.3">
      <c r="B93" s="182">
        <f>'ULTA Q Rev (Acual)'!B85</f>
        <v>45806</v>
      </c>
      <c r="C93" s="183">
        <f>'ULTA Q Rev (Acual)'!C85</f>
        <v>2848367</v>
      </c>
      <c r="D93" s="196">
        <f t="shared" si="5"/>
        <v>2721984.9769133781</v>
      </c>
      <c r="E93" s="197">
        <f t="shared" si="6"/>
        <v>42924.12316821819</v>
      </c>
      <c r="F93" s="197">
        <f t="shared" si="7"/>
        <v>1.0413727871184075</v>
      </c>
      <c r="G93" s="196">
        <f t="shared" si="8"/>
        <v>2676261.0298219346</v>
      </c>
    </row>
    <row r="94" spans="1:7" x14ac:dyDescent="0.3">
      <c r="B94" s="182">
        <f>'ULTA Q Rev (Acual)'!B86</f>
        <v>45897</v>
      </c>
      <c r="C94" s="183">
        <f>'ULTA Q Rev (Acual)'!C86</f>
        <v>2788469</v>
      </c>
      <c r="D94" s="196">
        <f t="shared" si="5"/>
        <v>2840760.0304399114</v>
      </c>
      <c r="E94" s="197">
        <f t="shared" si="6"/>
        <v>46401.054062546624</v>
      </c>
      <c r="F94" s="197">
        <f t="shared" si="7"/>
        <v>0.97875511728993181</v>
      </c>
      <c r="G94" s="196">
        <f t="shared" si="8"/>
        <v>2687692.9758740976</v>
      </c>
    </row>
    <row r="95" spans="1:7" x14ac:dyDescent="0.3">
      <c r="B95" s="245">
        <f>'ULTA Q Rev (Acual)'!B87</f>
        <v>45995</v>
      </c>
      <c r="C95" s="236">
        <f>'ULTA Q Rev (Acual)'!C87</f>
        <v>2857623</v>
      </c>
      <c r="D95" s="201">
        <f t="shared" si="5"/>
        <v>2890225.1375063588</v>
      </c>
      <c r="E95" s="202">
        <f t="shared" si="6"/>
        <v>46541.507192136407</v>
      </c>
      <c r="F95" s="202">
        <f t="shared" si="7"/>
        <v>0.98860531740463919</v>
      </c>
      <c r="G95" s="201">
        <f t="shared" si="8"/>
        <v>2853483.9735096679</v>
      </c>
    </row>
    <row r="96" spans="1:7" ht="15" x14ac:dyDescent="0.3">
      <c r="A96" s="120" t="s">
        <v>8</v>
      </c>
      <c r="B96" s="165">
        <v>46108</v>
      </c>
      <c r="G96" s="203">
        <f>($D$95+$E$95*(ROW()-ROW($G$95)))*F89</f>
        <v>3023291.8294673874</v>
      </c>
    </row>
    <row r="97" spans="2:7" x14ac:dyDescent="0.3">
      <c r="B97" s="165">
        <v>46234</v>
      </c>
      <c r="G97" s="203">
        <f t="shared" ref="G97:G100" si="9">($D$95+$E$95*(ROW()-ROW($G$95)))*F90</f>
        <v>2899992.7572547528</v>
      </c>
    </row>
    <row r="98" spans="2:7" x14ac:dyDescent="0.3">
      <c r="B98" s="165">
        <v>46262</v>
      </c>
      <c r="G98" s="203">
        <f t="shared" si="9"/>
        <v>2994508.1660818737</v>
      </c>
    </row>
    <row r="99" spans="2:7" x14ac:dyDescent="0.3">
      <c r="B99" s="165">
        <v>46360</v>
      </c>
      <c r="G99" s="203">
        <f t="shared" si="9"/>
        <v>4196053.0950544793</v>
      </c>
    </row>
    <row r="100" spans="2:7" x14ac:dyDescent="0.3">
      <c r="B100" s="165">
        <v>46473</v>
      </c>
      <c r="G100" s="203">
        <f t="shared" si="9"/>
        <v>3252137.1021515122</v>
      </c>
    </row>
    <row r="101" spans="2:7" x14ac:dyDescent="0.3">
      <c r="B101" s="178">
        <v>46599</v>
      </c>
      <c r="C101" s="16"/>
      <c r="D101" s="16"/>
      <c r="E101" s="16"/>
      <c r="F101" s="16"/>
      <c r="G101" s="204">
        <f>($D$95+$E$95*(ROW()-ROW($G$95)))*F94</f>
        <v>3102139.0734384838</v>
      </c>
    </row>
    <row r="102" spans="2:7" x14ac:dyDescent="0.3">
      <c r="B102" s="3" t="s">
        <v>208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982E-05AC-4215-AA3A-4199B3C1794F}">
  <dimension ref="A1:U125"/>
  <sheetViews>
    <sheetView zoomScale="72" workbookViewId="0">
      <selection activeCell="I12" sqref="I12"/>
    </sheetView>
  </sheetViews>
  <sheetFormatPr defaultRowHeight="14" x14ac:dyDescent="0.3"/>
  <cols>
    <col min="1" max="1" width="10.1796875" customWidth="1"/>
    <col min="2" max="2" width="16.26953125" customWidth="1"/>
    <col min="3" max="6" width="8.90625" bestFit="1" customWidth="1"/>
    <col min="7" max="7" width="13" customWidth="1"/>
    <col min="8" max="8" width="15.453125" customWidth="1"/>
    <col min="10" max="10" width="20.90625" customWidth="1"/>
    <col min="11" max="11" width="18.7265625" customWidth="1"/>
    <col min="12" max="12" width="20.453125" customWidth="1"/>
    <col min="13" max="13" width="18.453125" customWidth="1"/>
    <col min="14" max="14" width="16.453125" customWidth="1"/>
    <col min="15" max="15" width="16.1796875" customWidth="1"/>
    <col min="16" max="17" width="13.81640625" customWidth="1"/>
    <col min="18" max="18" width="16.26953125" customWidth="1"/>
  </cols>
  <sheetData>
    <row r="1" spans="1:2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25" x14ac:dyDescent="0.3">
      <c r="A2" s="3"/>
      <c r="B2" s="111" t="s">
        <v>222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3">
      <c r="A4" s="3"/>
      <c r="B4" s="12" t="s">
        <v>0</v>
      </c>
      <c r="C4" s="12" t="s">
        <v>12</v>
      </c>
      <c r="D4" s="12" t="s">
        <v>36</v>
      </c>
      <c r="E4" s="12" t="s">
        <v>37</v>
      </c>
      <c r="F4" s="12" t="s">
        <v>38</v>
      </c>
      <c r="G4" s="12" t="s">
        <v>1</v>
      </c>
      <c r="H4" s="12" t="s">
        <v>35</v>
      </c>
      <c r="I4" s="3"/>
      <c r="J4" t="s">
        <v>13</v>
      </c>
      <c r="S4" s="3"/>
      <c r="T4" s="3"/>
      <c r="U4" s="3"/>
    </row>
    <row r="5" spans="1:21" ht="14.5" thickBot="1" x14ac:dyDescent="0.35">
      <c r="A5" s="3" t="s">
        <v>97</v>
      </c>
      <c r="B5" s="182">
        <f>'ULTA Q Rev (Acual)'!B5</f>
        <v>38472</v>
      </c>
      <c r="C5" s="35">
        <v>1</v>
      </c>
      <c r="D5" s="206">
        <v>0</v>
      </c>
      <c r="E5" s="206">
        <v>0</v>
      </c>
      <c r="F5" s="206">
        <v>0</v>
      </c>
      <c r="G5" s="183">
        <f>'ULTA Q Rev (Acual)'!C5</f>
        <v>144769</v>
      </c>
      <c r="H5" s="43">
        <f>$K$20+$K$21*C5+$K$22*D5+$K$23*E5+$K$24*F5</f>
        <v>-366656.29965156876</v>
      </c>
      <c r="I5" s="36"/>
      <c r="S5" s="3"/>
      <c r="T5" s="3"/>
      <c r="U5" s="3"/>
    </row>
    <row r="6" spans="1:21" x14ac:dyDescent="0.3">
      <c r="A6" s="3"/>
      <c r="B6" s="182">
        <f>'ULTA Q Rev (Acual)'!B6</f>
        <v>38564</v>
      </c>
      <c r="C6" s="35">
        <v>2</v>
      </c>
      <c r="D6" s="207">
        <v>1</v>
      </c>
      <c r="E6" s="207">
        <f>IF(MONTH($B5)=6,1,0)</f>
        <v>0</v>
      </c>
      <c r="F6" s="207">
        <f>IF(MONTH($B5)=9,1,0)</f>
        <v>0</v>
      </c>
      <c r="G6" s="183">
        <f>'ULTA Q Rev (Acual)'!C6</f>
        <v>144769</v>
      </c>
      <c r="H6" s="43">
        <f t="shared" ref="H6:H69" si="0">$K$20+$K$21*C6+$K$22*D6+$K$23*E6+$K$24*F6</f>
        <v>-384535.9186991874</v>
      </c>
      <c r="I6" s="3"/>
      <c r="J6" s="211" t="s">
        <v>14</v>
      </c>
      <c r="K6" s="211"/>
      <c r="S6" s="3"/>
      <c r="T6" s="3"/>
      <c r="U6" s="3"/>
    </row>
    <row r="7" spans="1:21" x14ac:dyDescent="0.3">
      <c r="A7" s="3"/>
      <c r="B7" s="182">
        <f>'ULTA Q Rev (Acual)'!B7</f>
        <v>38656</v>
      </c>
      <c r="C7" s="35">
        <v>3</v>
      </c>
      <c r="D7" s="207">
        <v>0</v>
      </c>
      <c r="E7" s="207">
        <v>1</v>
      </c>
      <c r="F7" s="207">
        <f>IF(MONTH($B6)=9,1,0)</f>
        <v>0</v>
      </c>
      <c r="G7" s="183">
        <f>'ULTA Q Rev (Acual)'!C7</f>
        <v>144769</v>
      </c>
      <c r="H7" s="43">
        <f t="shared" si="0"/>
        <v>-356984.79181184707</v>
      </c>
      <c r="I7" s="3"/>
      <c r="J7" t="s">
        <v>15</v>
      </c>
      <c r="K7">
        <v>0.95633241410762349</v>
      </c>
      <c r="S7" s="3"/>
      <c r="T7" s="3"/>
      <c r="U7" s="3"/>
    </row>
    <row r="8" spans="1:21" x14ac:dyDescent="0.3">
      <c r="A8" s="3"/>
      <c r="B8" s="182">
        <f>'ULTA Q Rev (Acual)'!B8</f>
        <v>38748</v>
      </c>
      <c r="C8" s="35">
        <v>4</v>
      </c>
      <c r="D8" s="207">
        <f>IF(MONTH($B7)=3,1,0)</f>
        <v>0</v>
      </c>
      <c r="E8" s="207">
        <v>0</v>
      </c>
      <c r="F8" s="207">
        <v>1</v>
      </c>
      <c r="G8" s="183">
        <f>'ULTA Q Rev (Acual)'!C8</f>
        <v>144768</v>
      </c>
      <c r="H8" s="43">
        <f t="shared" si="0"/>
        <v>57511.20818815293</v>
      </c>
      <c r="I8" s="3"/>
      <c r="J8" t="s">
        <v>16</v>
      </c>
      <c r="K8">
        <v>0.91457168627291496</v>
      </c>
      <c r="S8" s="3"/>
      <c r="T8" s="3"/>
      <c r="U8" s="3"/>
    </row>
    <row r="9" spans="1:21" x14ac:dyDescent="0.3">
      <c r="A9" s="3"/>
      <c r="B9" s="182">
        <f>'ULTA Q Rev (Acual)'!B9</f>
        <v>38837</v>
      </c>
      <c r="C9" s="35">
        <v>5</v>
      </c>
      <c r="D9" s="207">
        <f>IF(MONTH($B8)=3,1,0)</f>
        <v>0</v>
      </c>
      <c r="E9" s="207">
        <f>IF(MONTH($B8)=6,1,0)</f>
        <v>0</v>
      </c>
      <c r="F9" s="207">
        <v>0</v>
      </c>
      <c r="G9" s="183">
        <f>'ULTA Q Rev (Acual)'!C9</f>
        <v>159468</v>
      </c>
      <c r="H9" s="43">
        <f t="shared" si="0"/>
        <v>-217167.92682926901</v>
      </c>
      <c r="I9" s="3"/>
      <c r="J9" t="s">
        <v>17</v>
      </c>
      <c r="K9">
        <v>0.91013385179358586</v>
      </c>
      <c r="S9" s="3"/>
      <c r="T9" s="3"/>
      <c r="U9" s="3"/>
    </row>
    <row r="10" spans="1:21" x14ac:dyDescent="0.3">
      <c r="A10" s="3"/>
      <c r="B10" s="182">
        <f>'ULTA Q Rev (Acual)'!B10</f>
        <v>38929</v>
      </c>
      <c r="C10" s="35">
        <v>6</v>
      </c>
      <c r="D10" s="207">
        <v>1</v>
      </c>
      <c r="E10" s="207">
        <f>IF(MONTH($B9)=6,1,0)</f>
        <v>0</v>
      </c>
      <c r="F10" s="207">
        <f>IF(MONTH($B9)=9,1,0)</f>
        <v>0</v>
      </c>
      <c r="G10" s="183">
        <f>'ULTA Q Rev (Acual)'!C10</f>
        <v>162558</v>
      </c>
      <c r="H10" s="43">
        <f t="shared" si="0"/>
        <v>-235047.54587688769</v>
      </c>
      <c r="I10" s="3"/>
      <c r="J10" t="s">
        <v>18</v>
      </c>
      <c r="K10">
        <v>283650.62208403787</v>
      </c>
      <c r="S10" s="3"/>
      <c r="T10" s="3"/>
      <c r="U10" s="3"/>
    </row>
    <row r="11" spans="1:21" ht="14.5" thickBot="1" x14ac:dyDescent="0.35">
      <c r="A11" s="3"/>
      <c r="B11" s="182">
        <f>'ULTA Q Rev (Acual)'!B11</f>
        <v>39021</v>
      </c>
      <c r="C11" s="35">
        <v>7</v>
      </c>
      <c r="D11" s="207">
        <v>0</v>
      </c>
      <c r="E11" s="207">
        <v>1</v>
      </c>
      <c r="F11" s="207">
        <f>IF(MONTH($B10)=9,1,0)</f>
        <v>0</v>
      </c>
      <c r="G11" s="183">
        <f>'ULTA Q Rev (Acual)'!C11</f>
        <v>216544</v>
      </c>
      <c r="H11" s="43">
        <f t="shared" si="0"/>
        <v>-207496.41898954738</v>
      </c>
      <c r="I11" s="3"/>
      <c r="J11" s="209" t="s">
        <v>19</v>
      </c>
      <c r="K11" s="209">
        <v>82</v>
      </c>
      <c r="S11" s="3"/>
      <c r="T11" s="3"/>
      <c r="U11" s="3"/>
    </row>
    <row r="12" spans="1:21" x14ac:dyDescent="0.3">
      <c r="A12" s="3"/>
      <c r="B12" s="182">
        <f>'ULTA Q Rev (Acual)'!B12</f>
        <v>39113</v>
      </c>
      <c r="C12" s="35">
        <v>8</v>
      </c>
      <c r="D12" s="207">
        <f>IF(MONTH($B11)=3,1,0)</f>
        <v>0</v>
      </c>
      <c r="E12" s="207">
        <v>0</v>
      </c>
      <c r="F12" s="207">
        <v>1</v>
      </c>
      <c r="G12" s="183">
        <f>'ULTA Q Rev (Acual)'!C12</f>
        <v>216543</v>
      </c>
      <c r="H12" s="43">
        <f t="shared" si="0"/>
        <v>206999.58101045265</v>
      </c>
      <c r="I12" s="3"/>
      <c r="S12" s="3"/>
      <c r="T12" s="3"/>
      <c r="U12" s="3"/>
    </row>
    <row r="13" spans="1:21" ht="14.5" thickBot="1" x14ac:dyDescent="0.35">
      <c r="A13" s="3"/>
      <c r="B13" s="182">
        <f>'ULTA Q Rev (Acual)'!B13</f>
        <v>39202</v>
      </c>
      <c r="C13" s="35">
        <v>9</v>
      </c>
      <c r="D13" s="207">
        <f>IF(MONTH($B12)=3,1,0)</f>
        <v>0</v>
      </c>
      <c r="E13" s="207">
        <f>IF(MONTH($B12)=6,1,0)</f>
        <v>0</v>
      </c>
      <c r="F13" s="207">
        <v>0</v>
      </c>
      <c r="G13" s="183">
        <f>'ULTA Q Rev (Acual)'!C13</f>
        <v>194113</v>
      </c>
      <c r="H13" s="43">
        <f t="shared" si="0"/>
        <v>-67679.554006969323</v>
      </c>
      <c r="I13" s="3"/>
      <c r="J13" t="s">
        <v>20</v>
      </c>
      <c r="S13" s="3"/>
      <c r="T13" s="3"/>
      <c r="U13" s="3"/>
    </row>
    <row r="14" spans="1:21" x14ac:dyDescent="0.3">
      <c r="A14" s="3"/>
      <c r="B14" s="182">
        <f>'ULTA Q Rev (Acual)'!B14</f>
        <v>39293</v>
      </c>
      <c r="C14" s="35">
        <v>10</v>
      </c>
      <c r="D14" s="207">
        <v>1</v>
      </c>
      <c r="E14" s="207">
        <f>IF(MONTH($B13)=6,1,0)</f>
        <v>0</v>
      </c>
      <c r="F14" s="207">
        <f>IF(MONTH($B13)=9,1,0)</f>
        <v>0</v>
      </c>
      <c r="G14" s="183">
        <f>'ULTA Q Rev (Acual)'!C14</f>
        <v>200449</v>
      </c>
      <c r="H14" s="43">
        <f t="shared" si="0"/>
        <v>-85559.173054587969</v>
      </c>
      <c r="I14" s="3"/>
      <c r="J14" s="210"/>
      <c r="K14" s="210" t="s">
        <v>25</v>
      </c>
      <c r="L14" s="210" t="s">
        <v>26</v>
      </c>
      <c r="M14" s="210" t="s">
        <v>27</v>
      </c>
      <c r="N14" s="210" t="s">
        <v>28</v>
      </c>
      <c r="O14" s="210" t="s">
        <v>29</v>
      </c>
      <c r="S14" s="3"/>
      <c r="T14" s="3"/>
      <c r="U14" s="3"/>
    </row>
    <row r="15" spans="1:21" x14ac:dyDescent="0.3">
      <c r="A15" s="3"/>
      <c r="B15" s="182">
        <f>'ULTA Q Rev (Acual)'!B15</f>
        <v>39386</v>
      </c>
      <c r="C15" s="35">
        <v>11</v>
      </c>
      <c r="D15" s="207">
        <v>0</v>
      </c>
      <c r="E15" s="207">
        <v>1</v>
      </c>
      <c r="F15" s="207">
        <f>IF(MONTH($B14)=9,1,0)</f>
        <v>0</v>
      </c>
      <c r="G15" s="183">
        <f>'ULTA Q Rev (Acual)'!C15</f>
        <v>208235</v>
      </c>
      <c r="H15" s="43">
        <f t="shared" si="0"/>
        <v>-58008.04616724763</v>
      </c>
      <c r="I15" s="3"/>
      <c r="J15" t="s">
        <v>21</v>
      </c>
      <c r="K15">
        <v>4</v>
      </c>
      <c r="L15">
        <v>66324521308620.797</v>
      </c>
      <c r="M15">
        <v>16581130327155.199</v>
      </c>
      <c r="N15">
        <v>206.08512790030414</v>
      </c>
      <c r="O15">
        <v>2.663859053059695E-40</v>
      </c>
      <c r="S15" s="3"/>
      <c r="T15" s="3"/>
      <c r="U15" s="3"/>
    </row>
    <row r="16" spans="1:21" x14ac:dyDescent="0.3">
      <c r="A16" s="3"/>
      <c r="B16" s="182">
        <f>'ULTA Q Rev (Acual)'!B16</f>
        <v>39478</v>
      </c>
      <c r="C16" s="35">
        <v>12</v>
      </c>
      <c r="D16" s="207">
        <f>IF(MONTH($B15)=3,1,0)</f>
        <v>0</v>
      </c>
      <c r="E16" s="207">
        <v>0</v>
      </c>
      <c r="F16" s="207">
        <v>1</v>
      </c>
      <c r="G16" s="183">
        <f>'ULTA Q Rev (Acual)'!C16</f>
        <v>309344</v>
      </c>
      <c r="H16" s="43">
        <f t="shared" si="0"/>
        <v>356487.95383275236</v>
      </c>
      <c r="I16" s="3"/>
      <c r="J16" t="s">
        <v>22</v>
      </c>
      <c r="K16">
        <v>77</v>
      </c>
      <c r="L16">
        <v>6195241006466.9492</v>
      </c>
      <c r="M16">
        <v>80457675408.661682</v>
      </c>
      <c r="S16" s="3"/>
      <c r="T16" s="3"/>
      <c r="U16" s="3"/>
    </row>
    <row r="17" spans="1:21" ht="14.5" thickBot="1" x14ac:dyDescent="0.35">
      <c r="A17" s="3"/>
      <c r="B17" s="182">
        <f>'ULTA Q Rev (Acual)'!B17</f>
        <v>39568</v>
      </c>
      <c r="C17" s="35">
        <v>13</v>
      </c>
      <c r="D17" s="207">
        <f>IF(MONTH($B16)=3,1,0)</f>
        <v>0</v>
      </c>
      <c r="E17" s="207">
        <f>IF(MONTH($B16)=6,1,0)</f>
        <v>0</v>
      </c>
      <c r="F17" s="207">
        <v>0</v>
      </c>
      <c r="G17" s="183">
        <f>'ULTA Q Rev (Acual)'!C17</f>
        <v>239298</v>
      </c>
      <c r="H17" s="43">
        <f t="shared" si="0"/>
        <v>81808.818815330393</v>
      </c>
      <c r="I17" s="3"/>
      <c r="J17" s="209" t="s">
        <v>23</v>
      </c>
      <c r="K17" s="209">
        <v>81</v>
      </c>
      <c r="L17" s="209">
        <v>72519762315087.75</v>
      </c>
      <c r="M17" s="209"/>
      <c r="N17" s="209"/>
      <c r="O17" s="209"/>
      <c r="S17" s="3"/>
      <c r="T17" s="3"/>
      <c r="U17" s="3"/>
    </row>
    <row r="18" spans="1:21" ht="14.5" thickBot="1" x14ac:dyDescent="0.35">
      <c r="A18" s="3"/>
      <c r="B18" s="182">
        <f>'ULTA Q Rev (Acual)'!B18</f>
        <v>39660</v>
      </c>
      <c r="C18" s="35">
        <v>14</v>
      </c>
      <c r="D18" s="207">
        <v>1</v>
      </c>
      <c r="E18" s="207">
        <f>IF(MONTH($B17)=6,1,0)</f>
        <v>0</v>
      </c>
      <c r="F18" s="207">
        <f>IF(MONTH($B17)=9,1,0)</f>
        <v>0</v>
      </c>
      <c r="G18" s="183">
        <f>'ULTA Q Rev (Acual)'!C18</f>
        <v>249111</v>
      </c>
      <c r="H18" s="43">
        <f t="shared" si="0"/>
        <v>63929.199767711754</v>
      </c>
      <c r="I18" s="3"/>
      <c r="S18" s="3"/>
      <c r="T18" s="3"/>
      <c r="U18" s="3"/>
    </row>
    <row r="19" spans="1:21" x14ac:dyDescent="0.3">
      <c r="A19" s="3"/>
      <c r="B19" s="182">
        <f>'ULTA Q Rev (Acual)'!B19</f>
        <v>39752</v>
      </c>
      <c r="C19" s="35">
        <v>15</v>
      </c>
      <c r="D19" s="207">
        <v>0</v>
      </c>
      <c r="E19" s="207">
        <v>1</v>
      </c>
      <c r="F19" s="207">
        <f>IF(MONTH($B18)=9,1,0)</f>
        <v>0</v>
      </c>
      <c r="G19" s="183">
        <f>'ULTA Q Rev (Acual)'!C19</f>
        <v>254843</v>
      </c>
      <c r="H19" s="43">
        <f t="shared" si="0"/>
        <v>91480.326655052078</v>
      </c>
      <c r="I19" s="3"/>
      <c r="J19" s="210"/>
      <c r="K19" s="210" t="s">
        <v>30</v>
      </c>
      <c r="L19" s="210" t="s">
        <v>18</v>
      </c>
      <c r="M19" s="210" t="s">
        <v>31</v>
      </c>
      <c r="N19" s="210" t="s">
        <v>32</v>
      </c>
      <c r="O19" s="210" t="s">
        <v>33</v>
      </c>
      <c r="P19" s="210" t="s">
        <v>34</v>
      </c>
      <c r="Q19" s="210" t="s">
        <v>45</v>
      </c>
      <c r="R19" s="210" t="s">
        <v>46</v>
      </c>
      <c r="S19" s="3"/>
      <c r="T19" s="3"/>
      <c r="U19" s="3"/>
    </row>
    <row r="20" spans="1:21" x14ac:dyDescent="0.3">
      <c r="A20" s="3"/>
      <c r="B20" s="182">
        <f>'ULTA Q Rev (Acual)'!B20</f>
        <v>39844</v>
      </c>
      <c r="C20" s="35">
        <v>16</v>
      </c>
      <c r="D20" s="207">
        <f>IF(MONTH($B19)=3,1,0)</f>
        <v>0</v>
      </c>
      <c r="E20" s="207">
        <v>0</v>
      </c>
      <c r="F20" s="207">
        <v>1</v>
      </c>
      <c r="G20" s="183">
        <f>'ULTA Q Rev (Acual)'!C20</f>
        <v>341394</v>
      </c>
      <c r="H20" s="43">
        <f t="shared" si="0"/>
        <v>505976.32665505208</v>
      </c>
      <c r="I20" s="3"/>
      <c r="J20" t="s">
        <v>24</v>
      </c>
      <c r="K20">
        <v>-404028.39285714366</v>
      </c>
      <c r="L20">
        <v>82320.371076917785</v>
      </c>
      <c r="M20">
        <v>-4.9080001410541643</v>
      </c>
      <c r="N20">
        <v>5.0292627994356042E-6</v>
      </c>
      <c r="O20">
        <v>-567949.19359405909</v>
      </c>
      <c r="P20">
        <v>-240107.59212022825</v>
      </c>
      <c r="Q20">
        <v>-567949.19359405909</v>
      </c>
      <c r="R20">
        <v>-240107.59212022825</v>
      </c>
      <c r="S20" s="3"/>
      <c r="T20" s="3"/>
      <c r="U20" s="3"/>
    </row>
    <row r="21" spans="1:21" x14ac:dyDescent="0.3">
      <c r="A21" s="3"/>
      <c r="B21" s="182">
        <f>'ULTA Q Rev (Acual)'!B21</f>
        <v>39933</v>
      </c>
      <c r="C21" s="35">
        <v>17</v>
      </c>
      <c r="D21" s="207">
        <f>IF(MONTH($B20)=3,1,0)</f>
        <v>0</v>
      </c>
      <c r="E21" s="207">
        <f>IF(MONTH($B20)=6,1,0)</f>
        <v>0</v>
      </c>
      <c r="F21" s="207">
        <v>0</v>
      </c>
      <c r="G21" s="183">
        <f>'ULTA Q Rev (Acual)'!C21</f>
        <v>268825</v>
      </c>
      <c r="H21" s="43">
        <f t="shared" si="0"/>
        <v>231297.19163763011</v>
      </c>
      <c r="I21" s="3"/>
      <c r="J21" t="s">
        <v>12</v>
      </c>
      <c r="K21">
        <v>37372.093205574929</v>
      </c>
      <c r="L21">
        <v>1323.679371190304</v>
      </c>
      <c r="M21">
        <v>28.233493713789986</v>
      </c>
      <c r="N21">
        <v>2.2698199086798408E-42</v>
      </c>
      <c r="O21">
        <v>34736.3108396073</v>
      </c>
      <c r="P21">
        <v>40007.875571542558</v>
      </c>
      <c r="Q21">
        <v>34736.3108396073</v>
      </c>
      <c r="R21">
        <v>40007.875571542558</v>
      </c>
      <c r="S21" s="3"/>
      <c r="T21" s="3"/>
      <c r="U21" s="3"/>
    </row>
    <row r="22" spans="1:21" x14ac:dyDescent="0.3">
      <c r="A22" s="3"/>
      <c r="B22" s="182">
        <f>'ULTA Q Rev (Acual)'!B22</f>
        <v>40025</v>
      </c>
      <c r="C22" s="35">
        <v>18</v>
      </c>
      <c r="D22" s="207">
        <v>1</v>
      </c>
      <c r="E22" s="207">
        <f>IF(MONTH($B21)=6,1,0)</f>
        <v>0</v>
      </c>
      <c r="F22" s="207">
        <f>IF(MONTH($B21)=9,1,0)</f>
        <v>0</v>
      </c>
      <c r="G22" s="183">
        <f>'ULTA Q Rev (Acual)'!C22</f>
        <v>273539</v>
      </c>
      <c r="H22" s="43">
        <f t="shared" si="0"/>
        <v>213417.5725900114</v>
      </c>
      <c r="I22" s="3"/>
      <c r="J22" t="s">
        <v>36</v>
      </c>
      <c r="K22">
        <v>-55251.712253193597</v>
      </c>
      <c r="L22">
        <v>87546.48982274266</v>
      </c>
      <c r="M22">
        <v>-0.63111282205674923</v>
      </c>
      <c r="N22">
        <v>0.52983573724992883</v>
      </c>
      <c r="O22">
        <v>-229579.04491355442</v>
      </c>
      <c r="P22">
        <v>119075.62040716721</v>
      </c>
      <c r="Q22">
        <v>-229579.04491355442</v>
      </c>
      <c r="R22">
        <v>119075.62040716721</v>
      </c>
      <c r="S22" s="3"/>
      <c r="T22" s="3"/>
      <c r="U22" s="3"/>
    </row>
    <row r="23" spans="1:21" x14ac:dyDescent="0.3">
      <c r="A23" s="3"/>
      <c r="B23" s="182">
        <f>'ULTA Q Rev (Acual)'!B23</f>
        <v>40117</v>
      </c>
      <c r="C23" s="35">
        <v>19</v>
      </c>
      <c r="D23" s="207">
        <v>0</v>
      </c>
      <c r="E23" s="207">
        <v>1</v>
      </c>
      <c r="F23" s="207">
        <f>IF(MONTH($B22)=9,1,0)</f>
        <v>0</v>
      </c>
      <c r="G23" s="183">
        <f>'ULTA Q Rev (Acual)'!C23</f>
        <v>284043</v>
      </c>
      <c r="H23" s="43">
        <f t="shared" si="0"/>
        <v>240968.69947735179</v>
      </c>
      <c r="I23" s="3"/>
      <c r="J23" t="s">
        <v>37</v>
      </c>
      <c r="K23">
        <v>-65072.678571428223</v>
      </c>
      <c r="L23">
        <v>88623.933827358473</v>
      </c>
      <c r="M23">
        <v>-0.73425626420726642</v>
      </c>
      <c r="N23">
        <v>0.46502267239919937</v>
      </c>
      <c r="O23">
        <v>-241545.47634176514</v>
      </c>
      <c r="P23">
        <v>111400.11919890868</v>
      </c>
      <c r="Q23">
        <v>-241545.47634176514</v>
      </c>
      <c r="R23">
        <v>111400.11919890868</v>
      </c>
      <c r="S23" s="3"/>
      <c r="T23" s="3"/>
      <c r="U23" s="3"/>
    </row>
    <row r="24" spans="1:21" ht="14.5" thickBot="1" x14ac:dyDescent="0.35">
      <c r="A24" s="3"/>
      <c r="B24" s="182">
        <f>'ULTA Q Rev (Acual)'!B24</f>
        <v>40209</v>
      </c>
      <c r="C24" s="35">
        <v>20</v>
      </c>
      <c r="D24" s="207">
        <f>IF(MONTH($B23)=3,1,0)</f>
        <v>0</v>
      </c>
      <c r="E24" s="207">
        <v>0</v>
      </c>
      <c r="F24" s="207">
        <v>1</v>
      </c>
      <c r="G24" s="183">
        <f>'ULTA Q Rev (Acual)'!C24</f>
        <v>396364</v>
      </c>
      <c r="H24" s="43">
        <f t="shared" si="0"/>
        <v>655464.69947735174</v>
      </c>
      <c r="I24" s="3"/>
      <c r="J24" s="209" t="s">
        <v>38</v>
      </c>
      <c r="K24" s="209">
        <v>312051.22822299687</v>
      </c>
      <c r="L24" s="209">
        <v>88633.818456127308</v>
      </c>
      <c r="M24" s="209">
        <v>3.5206790552238085</v>
      </c>
      <c r="N24" s="209">
        <v>7.2670778559660442E-4</v>
      </c>
      <c r="O24" s="209">
        <v>135558.74764217722</v>
      </c>
      <c r="P24" s="209">
        <v>488543.70880381652</v>
      </c>
      <c r="Q24" s="209">
        <v>135558.74764217722</v>
      </c>
      <c r="R24" s="209">
        <v>488543.70880381652</v>
      </c>
      <c r="S24" s="3"/>
      <c r="T24" s="3"/>
      <c r="U24" s="3"/>
    </row>
    <row r="25" spans="1:21" x14ac:dyDescent="0.3">
      <c r="A25" s="3"/>
      <c r="B25" s="182">
        <f>'ULTA Q Rev (Acual)'!B25</f>
        <v>40298</v>
      </c>
      <c r="C25" s="35">
        <v>21</v>
      </c>
      <c r="D25" s="206">
        <v>0</v>
      </c>
      <c r="E25" s="206">
        <v>0</v>
      </c>
      <c r="F25" s="206">
        <v>0</v>
      </c>
      <c r="G25" s="183">
        <f>'ULTA Q Rev (Acual)'!C25</f>
        <v>320196</v>
      </c>
      <c r="H25" s="43">
        <f t="shared" si="0"/>
        <v>380785.56445992982</v>
      </c>
      <c r="I25" s="3"/>
      <c r="S25" s="3"/>
      <c r="T25" s="3"/>
      <c r="U25" s="3"/>
    </row>
    <row r="26" spans="1:21" x14ac:dyDescent="0.3">
      <c r="A26" s="3"/>
      <c r="B26" s="182">
        <f>'ULTA Q Rev (Acual)'!B26</f>
        <v>40390</v>
      </c>
      <c r="C26" s="35">
        <v>22</v>
      </c>
      <c r="D26" s="207">
        <v>1</v>
      </c>
      <c r="E26" s="207">
        <f>IF(MONTH($B25)=6,1,0)</f>
        <v>0</v>
      </c>
      <c r="F26" s="207">
        <f>IF(MONTH($B25)=9,1,0)</f>
        <v>0</v>
      </c>
      <c r="G26" s="183">
        <f>'ULTA Q Rev (Acual)'!C26</f>
        <v>321804</v>
      </c>
      <c r="H26" s="43">
        <f t="shared" si="0"/>
        <v>362905.94541231124</v>
      </c>
      <c r="I26" s="3"/>
      <c r="S26" s="3"/>
      <c r="T26" s="3"/>
      <c r="U26" s="3"/>
    </row>
    <row r="27" spans="1:21" x14ac:dyDescent="0.3">
      <c r="A27" s="3"/>
      <c r="B27" s="182">
        <f>'ULTA Q Rev (Acual)'!B27</f>
        <v>40482</v>
      </c>
      <c r="C27" s="35">
        <v>23</v>
      </c>
      <c r="D27" s="207">
        <v>0</v>
      </c>
      <c r="E27" s="207">
        <v>1</v>
      </c>
      <c r="F27" s="207">
        <f>IF(MONTH($B26)=9,1,0)</f>
        <v>0</v>
      </c>
      <c r="G27" s="183">
        <f>'ULTA Q Rev (Acual)'!C27</f>
        <v>339179</v>
      </c>
      <c r="H27" s="43">
        <f t="shared" si="0"/>
        <v>390457.07229965151</v>
      </c>
      <c r="I27" s="3"/>
      <c r="S27" s="3"/>
      <c r="T27" s="3"/>
      <c r="U27" s="3"/>
    </row>
    <row r="28" spans="1:21" x14ac:dyDescent="0.3">
      <c r="A28" s="3"/>
      <c r="B28" s="182">
        <f>'ULTA Q Rev (Acual)'!B28</f>
        <v>40574</v>
      </c>
      <c r="C28" s="35">
        <v>24</v>
      </c>
      <c r="D28" s="207">
        <f>IF(MONTH($B27)=3,1,0)</f>
        <v>0</v>
      </c>
      <c r="E28" s="207">
        <v>0</v>
      </c>
      <c r="F28" s="207">
        <v>1</v>
      </c>
      <c r="G28" s="183">
        <f>'ULTA Q Rev (Acual)'!C28</f>
        <v>473659</v>
      </c>
      <c r="H28" s="43">
        <f t="shared" si="0"/>
        <v>804953.07229965157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3">
      <c r="A29" s="3"/>
      <c r="B29" s="182">
        <f>'ULTA Q Rev (Acual)'!B29</f>
        <v>40663</v>
      </c>
      <c r="C29" s="35">
        <v>25</v>
      </c>
      <c r="D29" s="207">
        <f>IF(MONTH($B28)=3,1,0)</f>
        <v>0</v>
      </c>
      <c r="E29" s="207">
        <f>IF(MONTH($B28)=6,1,0)</f>
        <v>0</v>
      </c>
      <c r="F29" s="207">
        <v>0</v>
      </c>
      <c r="G29" s="183">
        <f>'ULTA Q Rev (Acual)'!C29</f>
        <v>386006</v>
      </c>
      <c r="H29" s="43">
        <f t="shared" si="0"/>
        <v>530273.93728222954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3">
      <c r="A30" s="3"/>
      <c r="B30" s="182">
        <f>'ULTA Q Rev (Acual)'!B30</f>
        <v>40755</v>
      </c>
      <c r="C30" s="35">
        <v>26</v>
      </c>
      <c r="D30" s="207">
        <v>1</v>
      </c>
      <c r="E30" s="207">
        <f>IF(MONTH($B29)=6,1,0)</f>
        <v>0</v>
      </c>
      <c r="F30" s="207">
        <f>IF(MONTH($B29)=9,1,0)</f>
        <v>0</v>
      </c>
      <c r="G30" s="183">
        <f>'ULTA Q Rev (Acual)'!C30</f>
        <v>394567</v>
      </c>
      <c r="H30" s="43">
        <f t="shared" si="0"/>
        <v>512394.31823461084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3">
      <c r="A31" s="3"/>
      <c r="B31" s="182">
        <f>'ULTA Q Rev (Acual)'!B31</f>
        <v>40847</v>
      </c>
      <c r="C31" s="35">
        <v>27</v>
      </c>
      <c r="D31" s="207">
        <v>0</v>
      </c>
      <c r="E31" s="207">
        <v>1</v>
      </c>
      <c r="F31" s="207">
        <f>IF(MONTH($B30)=9,1,0)</f>
        <v>0</v>
      </c>
      <c r="G31" s="183">
        <f>'ULTA Q Rev (Acual)'!C31</f>
        <v>413067</v>
      </c>
      <c r="H31" s="43">
        <f t="shared" si="0"/>
        <v>539945.44512195128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3">
      <c r="A32" s="3"/>
      <c r="B32" s="182">
        <f>'ULTA Q Rev (Acual)'!B32</f>
        <v>40939</v>
      </c>
      <c r="C32" s="35">
        <v>28</v>
      </c>
      <c r="D32" s="207">
        <f>IF(MONTH($B31)=3,1,0)</f>
        <v>0</v>
      </c>
      <c r="E32" s="207">
        <v>0</v>
      </c>
      <c r="F32" s="207">
        <v>1</v>
      </c>
      <c r="G32" s="183">
        <f>'ULTA Q Rev (Acual)'!C32</f>
        <v>582511</v>
      </c>
      <c r="H32" s="43">
        <f t="shared" si="0"/>
        <v>954441.44512195117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3">
      <c r="A33" s="3"/>
      <c r="B33" s="182">
        <f>'ULTA Q Rev (Acual)'!B33</f>
        <v>41029</v>
      </c>
      <c r="C33" s="35">
        <v>29</v>
      </c>
      <c r="D33" s="207">
        <f>IF(MONTH($B32)=3,1,0)</f>
        <v>0</v>
      </c>
      <c r="E33" s="207">
        <f>IF(MONTH($B32)=6,1,0)</f>
        <v>0</v>
      </c>
      <c r="F33" s="207">
        <v>0</v>
      </c>
      <c r="G33" s="183">
        <f>'ULTA Q Rev (Acual)'!C33</f>
        <v>474098</v>
      </c>
      <c r="H33" s="43">
        <f t="shared" si="0"/>
        <v>679762.31010452937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3">
      <c r="A34" s="3"/>
      <c r="B34" s="182">
        <f>'ULTA Q Rev (Acual)'!B34</f>
        <v>41121</v>
      </c>
      <c r="C34" s="35">
        <v>30</v>
      </c>
      <c r="D34" s="207">
        <v>1</v>
      </c>
      <c r="E34" s="207">
        <f>IF(MONTH($B33)=6,1,0)</f>
        <v>0</v>
      </c>
      <c r="F34" s="207">
        <f>IF(MONTH($B33)=9,1,0)</f>
        <v>0</v>
      </c>
      <c r="G34" s="183">
        <f>'ULTA Q Rev (Acual)'!C34</f>
        <v>481683</v>
      </c>
      <c r="H34" s="43">
        <f t="shared" si="0"/>
        <v>661882.69105691067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3">
      <c r="A35" s="3"/>
      <c r="B35" s="182">
        <f>'ULTA Q Rev (Acual)'!B35</f>
        <v>41213</v>
      </c>
      <c r="C35" s="35">
        <v>31</v>
      </c>
      <c r="D35" s="207">
        <v>0</v>
      </c>
      <c r="E35" s="207">
        <v>1</v>
      </c>
      <c r="F35" s="207">
        <f>IF(MONTH($B34)=9,1,0)</f>
        <v>0</v>
      </c>
      <c r="G35" s="183">
        <f>'ULTA Q Rev (Acual)'!C35</f>
        <v>505640</v>
      </c>
      <c r="H35" s="43">
        <f t="shared" si="0"/>
        <v>689433.817944251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3">
      <c r="A36" s="3"/>
      <c r="B36" s="182">
        <f>'ULTA Q Rev (Acual)'!B36</f>
        <v>41365</v>
      </c>
      <c r="C36" s="35">
        <v>32</v>
      </c>
      <c r="D36" s="207">
        <f>IF(MONTH($B35)=3,1,0)</f>
        <v>0</v>
      </c>
      <c r="E36" s="207">
        <v>0</v>
      </c>
      <c r="F36" s="207">
        <v>1</v>
      </c>
      <c r="G36" s="183">
        <f>'ULTA Q Rev (Acual)'!C36</f>
        <v>758835</v>
      </c>
      <c r="H36" s="43">
        <f t="shared" si="0"/>
        <v>1103929.817944251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3">
      <c r="A37" s="3"/>
      <c r="B37" s="182">
        <f>'ULTA Q Rev (Acual)'!B37</f>
        <v>41435</v>
      </c>
      <c r="C37" s="35">
        <v>33</v>
      </c>
      <c r="D37" s="207">
        <f>IF(MONTH($B36)=3,1,0)</f>
        <v>0</v>
      </c>
      <c r="E37" s="207">
        <f>IF(MONTH($B36)=6,1,0)</f>
        <v>0</v>
      </c>
      <c r="F37" s="207">
        <v>0</v>
      </c>
      <c r="G37" s="183">
        <f>'ULTA Q Rev (Acual)'!C37</f>
        <v>582712</v>
      </c>
      <c r="H37" s="43">
        <f t="shared" si="0"/>
        <v>829250.68292682897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3">
      <c r="A38" s="3"/>
      <c r="B38" s="182">
        <f>'ULTA Q Rev (Acual)'!B38</f>
        <v>41528</v>
      </c>
      <c r="C38" s="35">
        <v>34</v>
      </c>
      <c r="D38" s="207">
        <v>1</v>
      </c>
      <c r="E38" s="207">
        <v>0</v>
      </c>
      <c r="F38" s="207">
        <f>IF(MONTH($B37)=9,1,0)</f>
        <v>0</v>
      </c>
      <c r="G38" s="183">
        <f>'ULTA Q Rev (Acual)'!C38</f>
        <v>600998</v>
      </c>
      <c r="H38" s="43">
        <f t="shared" si="0"/>
        <v>811371.06387921027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3">
      <c r="A39" s="3"/>
      <c r="B39" s="182">
        <f>'ULTA Q Rev (Acual)'!B39</f>
        <v>41612</v>
      </c>
      <c r="C39" s="35">
        <v>35</v>
      </c>
      <c r="D39" s="207">
        <v>0</v>
      </c>
      <c r="E39" s="207">
        <v>1</v>
      </c>
      <c r="F39" s="207">
        <v>0</v>
      </c>
      <c r="G39" s="183">
        <f>'ULTA Q Rev (Acual)'!C39</f>
        <v>618781</v>
      </c>
      <c r="H39" s="43">
        <f t="shared" si="0"/>
        <v>838922.1907665506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3">
      <c r="A40" s="3"/>
      <c r="B40" s="182">
        <f>'ULTA Q Rev (Acual)'!B40</f>
        <v>41728</v>
      </c>
      <c r="C40" s="35">
        <v>36</v>
      </c>
      <c r="D40" s="207">
        <f>IF(MONTH($B39)=3,1,0)</f>
        <v>0</v>
      </c>
      <c r="E40" s="207">
        <v>0</v>
      </c>
      <c r="F40" s="207">
        <v>1</v>
      </c>
      <c r="G40" s="183">
        <f>'ULTA Q Rev (Acual)'!C40</f>
        <v>868082</v>
      </c>
      <c r="H40" s="43">
        <f t="shared" si="0"/>
        <v>1253418.1907665506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15" x14ac:dyDescent="0.3">
      <c r="A41" s="107"/>
      <c r="B41" s="182">
        <f>'ULTA Q Rev (Acual)'!B41</f>
        <v>41794</v>
      </c>
      <c r="C41" s="35">
        <v>37</v>
      </c>
      <c r="D41" s="206">
        <v>0</v>
      </c>
      <c r="E41" s="206">
        <v>0</v>
      </c>
      <c r="F41" s="206">
        <v>0</v>
      </c>
      <c r="G41" s="183">
        <f>'ULTA Q Rev (Acual)'!C41</f>
        <v>713770</v>
      </c>
      <c r="H41" s="43">
        <f t="shared" si="0"/>
        <v>978739.05574912881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5" x14ac:dyDescent="0.3">
      <c r="A42" s="107"/>
      <c r="B42" s="182">
        <f>'ULTA Q Rev (Acual)'!B42</f>
        <v>41823</v>
      </c>
      <c r="C42" s="35">
        <v>38</v>
      </c>
      <c r="D42" s="207">
        <v>1</v>
      </c>
      <c r="E42" s="207">
        <v>0</v>
      </c>
      <c r="F42" s="207">
        <f>IF(MONTH($B41)=9,1,0)</f>
        <v>0</v>
      </c>
      <c r="G42" s="183">
        <f>'ULTA Q Rev (Acual)'!C42</f>
        <v>734236</v>
      </c>
      <c r="H42" s="43">
        <f t="shared" si="0"/>
        <v>960859.4367015101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15" x14ac:dyDescent="0.3">
      <c r="A43" s="107"/>
      <c r="B43" s="182">
        <f>'ULTA Q Rev (Acual)'!B43</f>
        <v>41976</v>
      </c>
      <c r="C43" s="35">
        <v>39</v>
      </c>
      <c r="D43" s="207">
        <v>0</v>
      </c>
      <c r="E43" s="207">
        <v>1</v>
      </c>
      <c r="F43" s="207">
        <f>IF(MONTH($B42)=9,1,0)</f>
        <v>0</v>
      </c>
      <c r="G43" s="183">
        <f>'ULTA Q Rev (Acual)'!C43</f>
        <v>745722</v>
      </c>
      <c r="H43" s="43">
        <f t="shared" si="0"/>
        <v>988410.56358885043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15" x14ac:dyDescent="0.3">
      <c r="A44" s="107"/>
      <c r="B44" s="182">
        <f>'ULTA Q Rev (Acual)'!B44</f>
        <v>42091</v>
      </c>
      <c r="C44" s="35">
        <v>40</v>
      </c>
      <c r="D44" s="207">
        <f>IF(MONTH($B43)=3,1,0)</f>
        <v>0</v>
      </c>
      <c r="E44" s="207">
        <v>0</v>
      </c>
      <c r="F44" s="207">
        <v>1</v>
      </c>
      <c r="G44" s="183">
        <f>'ULTA Q Rev (Acual)'!C44</f>
        <v>1047641</v>
      </c>
      <c r="H44" s="43">
        <f t="shared" si="0"/>
        <v>1402906.5635888504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3">
      <c r="A45" s="3"/>
      <c r="B45" s="182">
        <f>'ULTA Q Rev (Acual)'!B45</f>
        <v>42157</v>
      </c>
      <c r="C45" s="35">
        <v>41</v>
      </c>
      <c r="D45" s="206">
        <v>0</v>
      </c>
      <c r="E45" s="206">
        <v>0</v>
      </c>
      <c r="F45" s="206">
        <v>0</v>
      </c>
      <c r="G45" s="183">
        <f>'ULTA Q Rev (Acual)'!C45</f>
        <v>868122</v>
      </c>
      <c r="H45" s="43">
        <f t="shared" si="0"/>
        <v>1128227.4285714284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3">
      <c r="A46" s="3"/>
      <c r="B46" s="182">
        <f>'ULTA Q Rev (Acual)'!B46</f>
        <v>42241</v>
      </c>
      <c r="C46" s="35">
        <v>42</v>
      </c>
      <c r="D46" s="207">
        <v>1</v>
      </c>
      <c r="E46" s="207">
        <v>0</v>
      </c>
      <c r="F46" s="207">
        <f>IF(MONTH($B45)=9,1,0)</f>
        <v>0</v>
      </c>
      <c r="G46" s="183">
        <f>'ULTA Q Rev (Acual)'!C46</f>
        <v>876999</v>
      </c>
      <c r="H46" s="43">
        <f t="shared" si="0"/>
        <v>1110347.8095238097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3">
      <c r="B47" s="182">
        <f>'ULTA Q Rev (Acual)'!B47</f>
        <v>42339</v>
      </c>
      <c r="C47" s="35">
        <v>43</v>
      </c>
      <c r="D47" s="207">
        <v>0</v>
      </c>
      <c r="E47" s="207">
        <v>1</v>
      </c>
      <c r="F47" s="207">
        <f>IF(MONTH($B46)=9,1,0)</f>
        <v>0</v>
      </c>
      <c r="G47" s="183">
        <f>'ULTA Q Rev (Acual)'!C47</f>
        <v>910700</v>
      </c>
      <c r="H47" s="43">
        <f t="shared" si="0"/>
        <v>1137898.93641115</v>
      </c>
    </row>
    <row r="48" spans="1:21" x14ac:dyDescent="0.3">
      <c r="B48" s="182">
        <f>'ULTA Q Rev (Acual)'!B48</f>
        <v>42463</v>
      </c>
      <c r="C48" s="35">
        <v>44</v>
      </c>
      <c r="D48" s="207">
        <f>IF(MONTH($B47)=3,1,0)</f>
        <v>0</v>
      </c>
      <c r="E48" s="207">
        <v>0</v>
      </c>
      <c r="F48" s="207">
        <v>1</v>
      </c>
      <c r="G48" s="183">
        <f>'ULTA Q Rev (Acual)'!C48</f>
        <v>1268295</v>
      </c>
      <c r="H48" s="43">
        <f t="shared" si="0"/>
        <v>1552394.9364111503</v>
      </c>
    </row>
    <row r="49" spans="2:8" x14ac:dyDescent="0.3">
      <c r="B49" s="182">
        <f>'ULTA Q Rev (Acual)'!B49</f>
        <v>42522</v>
      </c>
      <c r="C49" s="35">
        <v>45</v>
      </c>
      <c r="D49" s="207">
        <f>IF(MONTH($B48)=3,1,0)</f>
        <v>0</v>
      </c>
      <c r="E49" s="207">
        <f>IF(MONTH($B48)=6,1,0)</f>
        <v>0</v>
      </c>
      <c r="F49" s="207">
        <v>0</v>
      </c>
      <c r="G49" s="183">
        <f>'ULTA Q Rev (Acual)'!C49</f>
        <v>1073716</v>
      </c>
      <c r="H49" s="43">
        <f t="shared" si="0"/>
        <v>1277715.8013937282</v>
      </c>
    </row>
    <row r="50" spans="2:8" x14ac:dyDescent="0.3">
      <c r="B50" s="182">
        <f>'ULTA Q Rev (Acual)'!B50</f>
        <v>42613</v>
      </c>
      <c r="C50" s="35">
        <v>46</v>
      </c>
      <c r="D50" s="207">
        <v>1</v>
      </c>
      <c r="E50" s="207">
        <v>0</v>
      </c>
      <c r="F50" s="207">
        <f>IF(MONTH($B49)=9,1,0)</f>
        <v>0</v>
      </c>
      <c r="G50" s="183">
        <f>'ULTA Q Rev (Acual)'!C50</f>
        <v>1069215</v>
      </c>
      <c r="H50" s="43">
        <f t="shared" si="0"/>
        <v>1259836.1823461095</v>
      </c>
    </row>
    <row r="51" spans="2:8" x14ac:dyDescent="0.3">
      <c r="B51" s="182">
        <f>'ULTA Q Rev (Acual)'!B51</f>
        <v>42704</v>
      </c>
      <c r="C51" s="35">
        <v>47</v>
      </c>
      <c r="D51" s="207">
        <v>0</v>
      </c>
      <c r="E51" s="207">
        <v>1</v>
      </c>
      <c r="F51" s="207">
        <f>IF(MONTH($B50)=9,1,0)</f>
        <v>0</v>
      </c>
      <c r="G51" s="183">
        <f>'ULTA Q Rev (Acual)'!C51</f>
        <v>1131232</v>
      </c>
      <c r="H51" s="43">
        <f t="shared" si="0"/>
        <v>1287387.3092334499</v>
      </c>
    </row>
    <row r="52" spans="2:8" x14ac:dyDescent="0.3">
      <c r="B52" s="182">
        <f>'ULTA Q Rev (Acual)'!B52</f>
        <v>42827</v>
      </c>
      <c r="C52" s="35">
        <v>48</v>
      </c>
      <c r="D52" s="207">
        <f>IF(MONTH($B51)=3,1,0)</f>
        <v>0</v>
      </c>
      <c r="E52" s="207">
        <v>0</v>
      </c>
      <c r="F52" s="207">
        <v>1</v>
      </c>
      <c r="G52" s="183">
        <f>'ULTA Q Rev (Acual)'!C52</f>
        <v>1580574</v>
      </c>
      <c r="H52" s="43">
        <f t="shared" si="0"/>
        <v>1701883.3092334499</v>
      </c>
    </row>
    <row r="53" spans="2:8" x14ac:dyDescent="0.3">
      <c r="B53" s="182">
        <f>'ULTA Q Rev (Acual)'!B53</f>
        <v>42887</v>
      </c>
      <c r="C53" s="35">
        <v>49</v>
      </c>
      <c r="D53" s="207">
        <f>IF(MONTH($B52)=3,1,0)</f>
        <v>0</v>
      </c>
      <c r="E53" s="207">
        <f>IF(MONTH($B52)=6,1,0)</f>
        <v>0</v>
      </c>
      <c r="F53" s="207">
        <v>0</v>
      </c>
      <c r="G53" s="183">
        <f>'ULTA Q Rev (Acual)'!C53</f>
        <v>1314879</v>
      </c>
      <c r="H53" s="43">
        <f t="shared" si="0"/>
        <v>1427204.1742160278</v>
      </c>
    </row>
    <row r="54" spans="2:8" x14ac:dyDescent="0.3">
      <c r="B54" s="182">
        <f>'ULTA Q Rev (Acual)'!B54</f>
        <v>42977</v>
      </c>
      <c r="C54" s="35">
        <v>50</v>
      </c>
      <c r="D54" s="207">
        <v>1</v>
      </c>
      <c r="E54" s="207">
        <v>0</v>
      </c>
      <c r="F54" s="207">
        <f>IF(MONTH($B53)=9,1,0)</f>
        <v>0</v>
      </c>
      <c r="G54" s="183">
        <f>'ULTA Q Rev (Acual)'!C54</f>
        <v>1289854</v>
      </c>
      <c r="H54" s="43">
        <f t="shared" si="0"/>
        <v>1409324.5551684091</v>
      </c>
    </row>
    <row r="55" spans="2:8" x14ac:dyDescent="0.3">
      <c r="B55" s="182">
        <f>'ULTA Q Rev (Acual)'!B55</f>
        <v>43075</v>
      </c>
      <c r="C55" s="35">
        <v>51</v>
      </c>
      <c r="D55" s="207">
        <v>0</v>
      </c>
      <c r="E55" s="207">
        <v>1</v>
      </c>
      <c r="F55" s="207">
        <f>IF(MONTH($B54)=9,1,0)</f>
        <v>0</v>
      </c>
      <c r="G55" s="183">
        <f>'ULTA Q Rev (Acual)'!C55</f>
        <v>1342181</v>
      </c>
      <c r="H55" s="43">
        <f t="shared" si="0"/>
        <v>1436875.6820557495</v>
      </c>
    </row>
    <row r="56" spans="2:8" x14ac:dyDescent="0.3">
      <c r="B56" s="182">
        <f>'ULTA Q Rev (Acual)'!B56</f>
        <v>43186</v>
      </c>
      <c r="C56" s="35">
        <v>52</v>
      </c>
      <c r="D56" s="207">
        <f>IF(MONTH($B55)=3,1,0)</f>
        <v>0</v>
      </c>
      <c r="E56" s="207">
        <v>0</v>
      </c>
      <c r="F56" s="207">
        <v>1</v>
      </c>
      <c r="G56" s="183">
        <f>'ULTA Q Rev (Acual)'!C56</f>
        <v>1937592</v>
      </c>
      <c r="H56" s="43">
        <f t="shared" si="0"/>
        <v>1851371.6820557495</v>
      </c>
    </row>
    <row r="57" spans="2:8" x14ac:dyDescent="0.3">
      <c r="B57" s="182">
        <f>'ULTA Q Rev (Acual)'!B57</f>
        <v>43250</v>
      </c>
      <c r="C57" s="35">
        <v>53</v>
      </c>
      <c r="D57" s="206">
        <v>0</v>
      </c>
      <c r="E57" s="206">
        <v>0</v>
      </c>
      <c r="F57" s="206">
        <v>0</v>
      </c>
      <c r="G57" s="183">
        <f>'ULTA Q Rev (Acual)'!C57</f>
        <v>1543667</v>
      </c>
      <c r="H57" s="43">
        <f t="shared" si="0"/>
        <v>1576692.5470383277</v>
      </c>
    </row>
    <row r="58" spans="2:8" x14ac:dyDescent="0.3">
      <c r="B58" s="182">
        <f>'ULTA Q Rev (Acual)'!B58</f>
        <v>43341</v>
      </c>
      <c r="C58" s="35">
        <v>54</v>
      </c>
      <c r="D58" s="207">
        <v>1</v>
      </c>
      <c r="E58" s="207">
        <f>IF(MONTH($B57)=6,1,0)</f>
        <v>0</v>
      </c>
      <c r="F58" s="207">
        <f>IF(MONTH($B57)=9,1,0)</f>
        <v>0</v>
      </c>
      <c r="G58" s="183">
        <f>'ULTA Q Rev (Acual)'!C58</f>
        <v>1488221</v>
      </c>
      <c r="H58" s="43">
        <f t="shared" si="0"/>
        <v>1558812.927990709</v>
      </c>
    </row>
    <row r="59" spans="2:8" x14ac:dyDescent="0.3">
      <c r="B59" s="182">
        <f>'ULTA Q Rev (Acual)'!B59</f>
        <v>43439</v>
      </c>
      <c r="C59" s="35">
        <v>55</v>
      </c>
      <c r="D59" s="207">
        <v>0</v>
      </c>
      <c r="E59" s="207">
        <v>1</v>
      </c>
      <c r="F59" s="207">
        <f>IF(MONTH($B58)=9,1,0)</f>
        <v>0</v>
      </c>
      <c r="G59" s="183">
        <f>'ULTA Q Rev (Acual)'!C59</f>
        <v>1560011</v>
      </c>
      <c r="H59" s="43">
        <f t="shared" si="0"/>
        <v>1586364.0548780493</v>
      </c>
    </row>
    <row r="60" spans="2:8" x14ac:dyDescent="0.3">
      <c r="B60" s="182">
        <f>'ULTA Q Rev (Acual)'!B60</f>
        <v>43550</v>
      </c>
      <c r="C60" s="35">
        <v>56</v>
      </c>
      <c r="D60" s="207">
        <f>IF(MONTH($B59)=3,1,0)</f>
        <v>0</v>
      </c>
      <c r="E60" s="207">
        <v>0</v>
      </c>
      <c r="F60" s="207">
        <v>1</v>
      </c>
      <c r="G60" s="183">
        <f>'ULTA Q Rev (Acual)'!C60</f>
        <v>2124716</v>
      </c>
      <c r="H60" s="43">
        <f t="shared" si="0"/>
        <v>2000860.0548780493</v>
      </c>
    </row>
    <row r="61" spans="2:8" x14ac:dyDescent="0.3">
      <c r="B61" s="182">
        <f>'ULTA Q Rev (Acual)'!B61</f>
        <v>43613</v>
      </c>
      <c r="C61" s="35">
        <v>57</v>
      </c>
      <c r="D61" s="206">
        <v>0</v>
      </c>
      <c r="E61" s="206">
        <v>0</v>
      </c>
      <c r="F61" s="206">
        <v>0</v>
      </c>
      <c r="G61" s="183">
        <f>'ULTA Q Rev (Acual)'!C61</f>
        <v>1743029</v>
      </c>
      <c r="H61" s="43">
        <f t="shared" si="0"/>
        <v>1726180.9198606275</v>
      </c>
    </row>
    <row r="62" spans="2:8" x14ac:dyDescent="0.3">
      <c r="B62" s="182">
        <f>'ULTA Q Rev (Acual)'!B62</f>
        <v>43704</v>
      </c>
      <c r="C62" s="35">
        <v>58</v>
      </c>
      <c r="D62" s="207">
        <v>1</v>
      </c>
      <c r="E62" s="207">
        <f>IF(MONTH($B61)=6,1,0)</f>
        <v>0</v>
      </c>
      <c r="F62" s="207">
        <f>IF(MONTH($B61)=9,1,0)</f>
        <v>0</v>
      </c>
      <c r="G62" s="183">
        <f>'ULTA Q Rev (Acual)'!C62</f>
        <v>1666607</v>
      </c>
      <c r="H62" s="43">
        <f t="shared" si="0"/>
        <v>1708301.3008130088</v>
      </c>
    </row>
    <row r="63" spans="2:8" x14ac:dyDescent="0.3">
      <c r="B63" s="182">
        <f>'ULTA Q Rev (Acual)'!B63</f>
        <v>43802</v>
      </c>
      <c r="C63" s="35">
        <v>59</v>
      </c>
      <c r="D63" s="207">
        <v>0</v>
      </c>
      <c r="E63" s="207">
        <v>1</v>
      </c>
      <c r="F63" s="207">
        <f>IF(MONTH($B62)=9,1,0)</f>
        <v>0</v>
      </c>
      <c r="G63" s="183">
        <f>'ULTA Q Rev (Acual)'!C63</f>
        <v>1682514</v>
      </c>
      <c r="H63" s="43">
        <f t="shared" si="0"/>
        <v>1735852.4277003491</v>
      </c>
    </row>
    <row r="64" spans="2:8" x14ac:dyDescent="0.3">
      <c r="B64" s="182">
        <f>'ULTA Q Rev (Acual)'!B64</f>
        <v>43915</v>
      </c>
      <c r="C64" s="35">
        <v>60</v>
      </c>
      <c r="D64" s="207">
        <f>IF(MONTH($B63)=3,1,0)</f>
        <v>0</v>
      </c>
      <c r="E64" s="207">
        <v>0</v>
      </c>
      <c r="F64" s="207">
        <v>1</v>
      </c>
      <c r="G64" s="183">
        <f>'ULTA Q Rev (Acual)'!C64</f>
        <v>2305918</v>
      </c>
      <c r="H64" s="43">
        <f t="shared" si="0"/>
        <v>2150348.4277003491</v>
      </c>
    </row>
    <row r="65" spans="2:8" x14ac:dyDescent="0.3">
      <c r="B65" s="182">
        <f>'ULTA Q Rev (Acual)'!B65</f>
        <v>43978</v>
      </c>
      <c r="C65" s="35">
        <v>61</v>
      </c>
      <c r="D65" s="206">
        <v>0</v>
      </c>
      <c r="E65" s="206">
        <v>0</v>
      </c>
      <c r="F65" s="206">
        <v>0</v>
      </c>
      <c r="G65" s="183">
        <f>'ULTA Q Rev (Acual)'!C65</f>
        <v>1173210</v>
      </c>
      <c r="H65" s="43">
        <f t="shared" si="0"/>
        <v>1875669.2926829271</v>
      </c>
    </row>
    <row r="66" spans="2:8" x14ac:dyDescent="0.3">
      <c r="B66" s="182">
        <f>'ULTA Q Rev (Acual)'!B66</f>
        <v>44068</v>
      </c>
      <c r="C66" s="35">
        <v>62</v>
      </c>
      <c r="D66" s="207">
        <v>1</v>
      </c>
      <c r="E66" s="207">
        <f>IF(MONTH($B65)=6,1,0)</f>
        <v>0</v>
      </c>
      <c r="F66" s="207">
        <f>IF(MONTH($B65)=9,1,0)</f>
        <v>0</v>
      </c>
      <c r="G66" s="183">
        <f>'ULTA Q Rev (Acual)'!C66</f>
        <v>1228009</v>
      </c>
      <c r="H66" s="43">
        <f t="shared" si="0"/>
        <v>1857789.6736353084</v>
      </c>
    </row>
    <row r="67" spans="2:8" x14ac:dyDescent="0.3">
      <c r="B67" s="182">
        <f>'ULTA Q Rev (Acual)'!B67</f>
        <v>44167</v>
      </c>
      <c r="C67" s="35">
        <v>63</v>
      </c>
      <c r="D67" s="207">
        <v>0</v>
      </c>
      <c r="E67" s="207">
        <v>1</v>
      </c>
      <c r="F67" s="207">
        <f>IF(MONTH($B66)=9,1,0)</f>
        <v>0</v>
      </c>
      <c r="G67" s="183">
        <f>'ULTA Q Rev (Acual)'!C67</f>
        <v>1552033</v>
      </c>
      <c r="H67" s="43">
        <f t="shared" si="0"/>
        <v>1885340.8005226487</v>
      </c>
    </row>
    <row r="68" spans="2:8" x14ac:dyDescent="0.3">
      <c r="B68" s="182">
        <f>'ULTA Q Rev (Acual)'!B68</f>
        <v>44279</v>
      </c>
      <c r="C68" s="35">
        <v>64</v>
      </c>
      <c r="D68" s="207">
        <f>IF(MONTH($B67)=3,1,0)</f>
        <v>0</v>
      </c>
      <c r="E68" s="207">
        <v>0</v>
      </c>
      <c r="F68" s="207">
        <v>1</v>
      </c>
      <c r="G68" s="183">
        <f>'ULTA Q Rev (Acual)'!C68</f>
        <v>2198701</v>
      </c>
      <c r="H68" s="43">
        <f t="shared" si="0"/>
        <v>2299836.8005226487</v>
      </c>
    </row>
    <row r="69" spans="2:8" x14ac:dyDescent="0.3">
      <c r="B69" s="182">
        <f>'ULTA Q Rev (Acual)'!B69</f>
        <v>44342</v>
      </c>
      <c r="C69" s="35">
        <v>65</v>
      </c>
      <c r="D69" s="206">
        <v>0</v>
      </c>
      <c r="E69" s="206">
        <v>0</v>
      </c>
      <c r="F69" s="206">
        <v>0</v>
      </c>
      <c r="G69" s="183">
        <f>'ULTA Q Rev (Acual)'!C69</f>
        <v>1938519</v>
      </c>
      <c r="H69" s="43">
        <f t="shared" si="0"/>
        <v>2025157.6655052267</v>
      </c>
    </row>
    <row r="70" spans="2:8" x14ac:dyDescent="0.3">
      <c r="B70" s="182">
        <f>'ULTA Q Rev (Acual)'!B70</f>
        <v>44433</v>
      </c>
      <c r="C70" s="35">
        <v>66</v>
      </c>
      <c r="D70" s="207">
        <v>1</v>
      </c>
      <c r="E70" s="207">
        <f>IF(MONTH($B69)=6,1,0)</f>
        <v>0</v>
      </c>
      <c r="F70" s="207">
        <f>IF(MONTH($B69)=9,1,0)</f>
        <v>0</v>
      </c>
      <c r="G70" s="183">
        <f>'ULTA Q Rev (Acual)'!C70</f>
        <v>1967207</v>
      </c>
      <c r="H70" s="43">
        <f t="shared" ref="H70:H87" si="1">$K$20+$K$21*C70+$K$22*D70+$K$23*E70+$K$24*F70</f>
        <v>2007278.046457608</v>
      </c>
    </row>
    <row r="71" spans="2:8" x14ac:dyDescent="0.3">
      <c r="B71" s="182">
        <f>'ULTA Q Rev (Acual)'!B71</f>
        <v>44531</v>
      </c>
      <c r="C71" s="35">
        <v>67</v>
      </c>
      <c r="D71" s="207">
        <v>0</v>
      </c>
      <c r="E71" s="207">
        <v>1</v>
      </c>
      <c r="F71" s="207">
        <f>IF(MONTH($B70)=9,1,0)</f>
        <v>0</v>
      </c>
      <c r="G71" s="183">
        <f>'ULTA Q Rev (Acual)'!C71</f>
        <v>1995775</v>
      </c>
      <c r="H71" s="43">
        <f t="shared" si="1"/>
        <v>2034829.1733449483</v>
      </c>
    </row>
    <row r="72" spans="2:8" x14ac:dyDescent="0.3">
      <c r="B72" s="182">
        <f>'ULTA Q Rev (Acual)'!B72</f>
        <v>44646</v>
      </c>
      <c r="C72" s="35">
        <v>68</v>
      </c>
      <c r="D72" s="207">
        <f>IF(MONTH($B71)=3,1,0)</f>
        <v>0</v>
      </c>
      <c r="E72" s="207">
        <v>0</v>
      </c>
      <c r="F72" s="207">
        <v>1</v>
      </c>
      <c r="G72" s="183">
        <f>'ULTA Q Rev (Acual)'!C72</f>
        <v>2729388</v>
      </c>
      <c r="H72" s="43">
        <f t="shared" si="1"/>
        <v>2449325.1733449483</v>
      </c>
    </row>
    <row r="73" spans="2:8" x14ac:dyDescent="0.3">
      <c r="B73" s="182">
        <f>'ULTA Q Rev (Acual)'!B73</f>
        <v>44706</v>
      </c>
      <c r="C73" s="35">
        <v>69</v>
      </c>
      <c r="D73" s="206">
        <v>0</v>
      </c>
      <c r="E73" s="206">
        <v>0</v>
      </c>
      <c r="F73" s="206">
        <v>0</v>
      </c>
      <c r="G73" s="183">
        <f>'ULTA Q Rev (Acual)'!C73</f>
        <v>2345901</v>
      </c>
      <c r="H73" s="43">
        <f t="shared" si="1"/>
        <v>2174646.0383275263</v>
      </c>
    </row>
    <row r="74" spans="2:8" x14ac:dyDescent="0.3">
      <c r="B74" s="182">
        <f>'ULTA Q Rev (Acual)'!B74</f>
        <v>44797</v>
      </c>
      <c r="C74" s="35">
        <v>70</v>
      </c>
      <c r="D74" s="207">
        <v>1</v>
      </c>
      <c r="E74" s="207">
        <f>IF(MONTH($B73)=6,1,0)</f>
        <v>0</v>
      </c>
      <c r="F74" s="207">
        <f>IF(MONTH($B73)=9,1,0)</f>
        <v>0</v>
      </c>
      <c r="G74" s="183">
        <f>'ULTA Q Rev (Acual)'!C74</f>
        <v>2297113</v>
      </c>
      <c r="H74" s="43">
        <f t="shared" si="1"/>
        <v>2156766.4192799078</v>
      </c>
    </row>
    <row r="75" spans="2:8" x14ac:dyDescent="0.3">
      <c r="B75" s="182">
        <f>'ULTA Q Rev (Acual)'!B75</f>
        <v>44895</v>
      </c>
      <c r="C75" s="35">
        <v>71</v>
      </c>
      <c r="D75" s="207">
        <v>0</v>
      </c>
      <c r="E75" s="207">
        <v>1</v>
      </c>
      <c r="F75" s="207">
        <f>IF(MONTH($B74)=9,1,0)</f>
        <v>0</v>
      </c>
      <c r="G75" s="183">
        <f>'ULTA Q Rev (Acual)'!C75</f>
        <v>2338793</v>
      </c>
      <c r="H75" s="43">
        <f t="shared" si="1"/>
        <v>2184317.5461672479</v>
      </c>
    </row>
    <row r="76" spans="2:8" x14ac:dyDescent="0.3">
      <c r="B76" s="182">
        <f>'ULTA Q Rev (Acual)'!B76</f>
        <v>45012</v>
      </c>
      <c r="C76" s="35">
        <v>72</v>
      </c>
      <c r="D76" s="207">
        <f>IF(MONTH($B75)=3,1,0)</f>
        <v>0</v>
      </c>
      <c r="E76" s="207">
        <v>0</v>
      </c>
      <c r="F76" s="207">
        <v>1</v>
      </c>
      <c r="G76" s="183">
        <f>'ULTA Q Rev (Acual)'!C76</f>
        <v>3226773</v>
      </c>
      <c r="H76" s="43">
        <f t="shared" si="1"/>
        <v>2598813.5461672479</v>
      </c>
    </row>
    <row r="77" spans="2:8" x14ac:dyDescent="0.3">
      <c r="B77" s="182">
        <f>'ULTA Q Rev (Acual)'!B77</f>
        <v>45076</v>
      </c>
      <c r="C77" s="35">
        <v>73</v>
      </c>
      <c r="D77" s="206">
        <v>0</v>
      </c>
      <c r="E77" s="206">
        <v>0</v>
      </c>
      <c r="F77" s="206">
        <v>0</v>
      </c>
      <c r="G77" s="183">
        <f>'ULTA Q Rev (Acual)'!C77</f>
        <v>2634263</v>
      </c>
      <c r="H77" s="43">
        <f t="shared" si="1"/>
        <v>2324134.4111498264</v>
      </c>
    </row>
    <row r="78" spans="2:8" x14ac:dyDescent="0.3">
      <c r="B78" s="182">
        <f>'ULTA Q Rev (Acual)'!B78</f>
        <v>45167</v>
      </c>
      <c r="C78" s="35">
        <v>74</v>
      </c>
      <c r="D78" s="207">
        <v>1</v>
      </c>
      <c r="E78" s="207">
        <f>IF(MONTH($B77)=6,1,0)</f>
        <v>0</v>
      </c>
      <c r="F78" s="207">
        <f>IF(MONTH($B77)=9,1,0)</f>
        <v>0</v>
      </c>
      <c r="G78" s="183">
        <f>'ULTA Q Rev (Acual)'!C78</f>
        <v>2529809</v>
      </c>
      <c r="H78" s="43">
        <f t="shared" si="1"/>
        <v>2306254.7921022079</v>
      </c>
    </row>
    <row r="79" spans="2:8" x14ac:dyDescent="0.3">
      <c r="B79" s="182">
        <f>'ULTA Q Rev (Acual)'!B79</f>
        <v>45265</v>
      </c>
      <c r="C79" s="35">
        <v>75</v>
      </c>
      <c r="D79" s="207">
        <v>0</v>
      </c>
      <c r="E79" s="207">
        <v>1</v>
      </c>
      <c r="F79" s="207">
        <f>IF(MONTH($B78)=9,1,0)</f>
        <v>0</v>
      </c>
      <c r="G79" s="183">
        <f>'ULTA Q Rev (Acual)'!C79</f>
        <v>2488933</v>
      </c>
      <c r="H79" s="43">
        <f t="shared" si="1"/>
        <v>2333805.918989548</v>
      </c>
    </row>
    <row r="80" spans="2:8" x14ac:dyDescent="0.3">
      <c r="B80" s="182">
        <f>'ULTA Q Rev (Acual)'!B80</f>
        <v>45378</v>
      </c>
      <c r="C80" s="35">
        <v>76</v>
      </c>
      <c r="D80" s="207">
        <f>IF(MONTH($B79)=3,1,0)</f>
        <v>0</v>
      </c>
      <c r="E80" s="207">
        <v>0</v>
      </c>
      <c r="F80" s="207">
        <v>1</v>
      </c>
      <c r="G80" s="183">
        <f>'ULTA Q Rev (Acual)'!C80</f>
        <v>3554298</v>
      </c>
      <c r="H80" s="43">
        <f t="shared" si="1"/>
        <v>2748301.918989548</v>
      </c>
    </row>
    <row r="81" spans="1:8" x14ac:dyDescent="0.3">
      <c r="B81" s="182">
        <f>'ULTA Q Rev (Acual)'!B81</f>
        <v>45441</v>
      </c>
      <c r="C81" s="35">
        <v>77</v>
      </c>
      <c r="D81" s="206">
        <v>0</v>
      </c>
      <c r="E81" s="206">
        <v>0</v>
      </c>
      <c r="F81" s="206">
        <v>0</v>
      </c>
      <c r="G81" s="183">
        <f>'ULTA Q Rev (Acual)'!C81</f>
        <v>2725848</v>
      </c>
      <c r="H81" s="43">
        <f t="shared" si="1"/>
        <v>2473622.783972126</v>
      </c>
    </row>
    <row r="82" spans="1:8" x14ac:dyDescent="0.3">
      <c r="B82" s="182">
        <f>'ULTA Q Rev (Acual)'!B82</f>
        <v>45532</v>
      </c>
      <c r="C82" s="35">
        <v>78</v>
      </c>
      <c r="D82" s="207">
        <v>1</v>
      </c>
      <c r="E82" s="207">
        <f>IF(MONTH($B81)=6,1,0)</f>
        <v>0</v>
      </c>
      <c r="F82" s="207">
        <f>IF(MONTH($B81)=9,1,0)</f>
        <v>0</v>
      </c>
      <c r="G82" s="183">
        <f>'ULTA Q Rev (Acual)'!C82</f>
        <v>2552087</v>
      </c>
      <c r="H82" s="43">
        <f t="shared" si="1"/>
        <v>2455743.1649245075</v>
      </c>
    </row>
    <row r="83" spans="1:8" x14ac:dyDescent="0.3">
      <c r="B83" s="182">
        <f>'ULTA Q Rev (Acual)'!B83</f>
        <v>45631</v>
      </c>
      <c r="C83" s="35">
        <v>79</v>
      </c>
      <c r="D83" s="207">
        <v>0</v>
      </c>
      <c r="E83" s="207">
        <v>1</v>
      </c>
      <c r="F83" s="207">
        <f>IF(MONTH($B82)=9,1,0)</f>
        <v>0</v>
      </c>
      <c r="G83" s="183">
        <f>'ULTA Q Rev (Acual)'!C83</f>
        <v>2530100</v>
      </c>
      <c r="H83" s="43">
        <f t="shared" si="1"/>
        <v>2483294.2918118476</v>
      </c>
    </row>
    <row r="84" spans="1:8" x14ac:dyDescent="0.3">
      <c r="B84" s="182">
        <f>'ULTA Q Rev (Acual)'!B84</f>
        <v>45743</v>
      </c>
      <c r="C84" s="35">
        <v>80</v>
      </c>
      <c r="D84" s="207">
        <f>IF(MONTH($B83)=3,1,0)</f>
        <v>0</v>
      </c>
      <c r="E84" s="207">
        <v>0</v>
      </c>
      <c r="F84" s="207">
        <v>1</v>
      </c>
      <c r="G84" s="183">
        <f>'ULTA Q Rev (Acual)'!C84</f>
        <v>3487619</v>
      </c>
      <c r="H84" s="43">
        <f t="shared" si="1"/>
        <v>2897790.2918118476</v>
      </c>
    </row>
    <row r="85" spans="1:8" x14ac:dyDescent="0.3">
      <c r="B85" s="182">
        <f>'ULTA Q Rev (Acual)'!B85</f>
        <v>45806</v>
      </c>
      <c r="C85" s="35">
        <v>81</v>
      </c>
      <c r="D85" s="206">
        <v>0</v>
      </c>
      <c r="E85" s="206">
        <v>0</v>
      </c>
      <c r="F85" s="206">
        <v>0</v>
      </c>
      <c r="G85" s="183">
        <f>'ULTA Q Rev (Acual)'!C85</f>
        <v>2848367</v>
      </c>
      <c r="H85" s="43">
        <f t="shared" si="1"/>
        <v>2623111.1567944256</v>
      </c>
    </row>
    <row r="86" spans="1:8" x14ac:dyDescent="0.3">
      <c r="B86" s="182">
        <f>'ULTA Q Rev (Acual)'!B86</f>
        <v>45897</v>
      </c>
      <c r="C86" s="35">
        <v>82</v>
      </c>
      <c r="D86" s="206">
        <v>1</v>
      </c>
      <c r="E86" s="206">
        <v>0</v>
      </c>
      <c r="F86" s="206">
        <v>0</v>
      </c>
      <c r="G86" s="183">
        <f>'ULTA Q Rev (Acual)'!C86</f>
        <v>2788469</v>
      </c>
      <c r="H86" s="43">
        <f t="shared" si="1"/>
        <v>2605231.5377468071</v>
      </c>
    </row>
    <row r="87" spans="1:8" x14ac:dyDescent="0.3">
      <c r="B87" s="245">
        <f>'ULTA Q Rev (Acual)'!B87</f>
        <v>45995</v>
      </c>
      <c r="C87" s="28">
        <v>83</v>
      </c>
      <c r="D87" s="208">
        <v>0</v>
      </c>
      <c r="E87" s="208">
        <v>1</v>
      </c>
      <c r="F87" s="208">
        <f>IF(MONTH($B85)=9,1,0)</f>
        <v>0</v>
      </c>
      <c r="G87" s="236">
        <f>'ULTA Q Rev (Acual)'!C87</f>
        <v>2857623</v>
      </c>
      <c r="H87" s="44">
        <f t="shared" si="1"/>
        <v>2632782.6646341472</v>
      </c>
    </row>
    <row r="88" spans="1:8" ht="15" x14ac:dyDescent="0.3">
      <c r="A88" s="107" t="s">
        <v>8</v>
      </c>
      <c r="B88" s="165">
        <v>46108</v>
      </c>
      <c r="C88" s="214">
        <v>84</v>
      </c>
      <c r="D88" s="207">
        <v>0</v>
      </c>
      <c r="E88" s="207">
        <v>0</v>
      </c>
      <c r="F88" s="207">
        <v>1</v>
      </c>
      <c r="G88" s="212"/>
      <c r="H88" s="164">
        <f>$K$20+$K$21*C88+$K$22*D88+$K$23*E88+$K$24*F88</f>
        <v>3047278.6646341472</v>
      </c>
    </row>
    <row r="89" spans="1:8" x14ac:dyDescent="0.3">
      <c r="B89" s="165">
        <v>46234</v>
      </c>
      <c r="C89" s="215">
        <v>85</v>
      </c>
      <c r="D89" s="207">
        <v>0</v>
      </c>
      <c r="E89" s="207">
        <v>0</v>
      </c>
      <c r="F89" s="207">
        <v>0</v>
      </c>
      <c r="G89" s="212"/>
      <c r="H89" s="164">
        <f t="shared" ref="H89:H92" si="2">$K$20+$K$21*C89+$K$22*D89+$K$23*E89+$K$24*F89</f>
        <v>2772599.5296167252</v>
      </c>
    </row>
    <row r="90" spans="1:8" x14ac:dyDescent="0.3">
      <c r="B90" s="165">
        <v>46262</v>
      </c>
      <c r="C90" s="215">
        <v>86</v>
      </c>
      <c r="D90" s="206">
        <v>1</v>
      </c>
      <c r="E90" s="206">
        <v>0</v>
      </c>
      <c r="F90" s="206">
        <v>0</v>
      </c>
      <c r="G90" s="212"/>
      <c r="H90" s="164">
        <f t="shared" si="2"/>
        <v>2754719.9105691067</v>
      </c>
    </row>
    <row r="91" spans="1:8" x14ac:dyDescent="0.3">
      <c r="B91" s="165">
        <v>46360</v>
      </c>
      <c r="C91" s="215">
        <v>87</v>
      </c>
      <c r="D91" s="207">
        <v>0</v>
      </c>
      <c r="E91" s="207">
        <v>1</v>
      </c>
      <c r="F91" s="207">
        <f>IF(MONTH($B90)=9,1,0)</f>
        <v>0</v>
      </c>
      <c r="G91" s="212"/>
      <c r="H91" s="164">
        <f t="shared" si="2"/>
        <v>2782271.0374564468</v>
      </c>
    </row>
    <row r="92" spans="1:8" x14ac:dyDescent="0.3">
      <c r="B92" s="165">
        <v>46473</v>
      </c>
      <c r="C92" s="215">
        <v>88</v>
      </c>
      <c r="D92" s="207">
        <v>0</v>
      </c>
      <c r="E92" s="207">
        <v>0</v>
      </c>
      <c r="F92" s="207">
        <v>1</v>
      </c>
      <c r="G92" s="212"/>
      <c r="H92" s="164">
        <f t="shared" si="2"/>
        <v>3196767.0374564473</v>
      </c>
    </row>
    <row r="93" spans="1:8" x14ac:dyDescent="0.3">
      <c r="B93" s="178">
        <v>46599</v>
      </c>
      <c r="C93" s="216">
        <v>89</v>
      </c>
      <c r="D93" s="208">
        <v>0</v>
      </c>
      <c r="E93" s="208">
        <v>0</v>
      </c>
      <c r="F93" s="208">
        <v>0</v>
      </c>
      <c r="G93" s="213"/>
      <c r="H93" s="217">
        <f>$K$20+$K$21*C93+$K$22*D93+$K$23*E93+$K$24*F93</f>
        <v>2922087.9024390252</v>
      </c>
    </row>
    <row r="94" spans="1:8" x14ac:dyDescent="0.3">
      <c r="B94" s="3" t="s">
        <v>208</v>
      </c>
      <c r="D94" s="205"/>
      <c r="E94" s="205"/>
      <c r="F94" s="205"/>
    </row>
    <row r="95" spans="1:8" x14ac:dyDescent="0.3">
      <c r="D95" s="205"/>
      <c r="E95" s="205"/>
      <c r="F95" s="205"/>
    </row>
    <row r="96" spans="1:8" x14ac:dyDescent="0.3">
      <c r="D96" s="205"/>
      <c r="E96" s="205"/>
      <c r="F96" s="205"/>
    </row>
    <row r="97" spans="4:6" x14ac:dyDescent="0.3">
      <c r="D97" s="205"/>
      <c r="E97" s="205"/>
      <c r="F97" s="205"/>
    </row>
    <row r="98" spans="4:6" x14ac:dyDescent="0.3">
      <c r="D98" s="205"/>
      <c r="E98" s="205"/>
      <c r="F98" s="205"/>
    </row>
    <row r="99" spans="4:6" x14ac:dyDescent="0.3">
      <c r="D99" s="205"/>
      <c r="E99" s="205"/>
      <c r="F99" s="205"/>
    </row>
    <row r="100" spans="4:6" x14ac:dyDescent="0.3">
      <c r="D100" s="205"/>
      <c r="E100" s="205"/>
      <c r="F100" s="205"/>
    </row>
    <row r="101" spans="4:6" x14ac:dyDescent="0.3">
      <c r="D101" s="205"/>
      <c r="E101" s="205"/>
      <c r="F101" s="205"/>
    </row>
    <row r="102" spans="4:6" x14ac:dyDescent="0.3">
      <c r="D102" s="205"/>
      <c r="E102" s="205"/>
      <c r="F102" s="205"/>
    </row>
    <row r="103" spans="4:6" x14ac:dyDescent="0.3">
      <c r="D103" s="205"/>
      <c r="E103" s="205"/>
      <c r="F103" s="205"/>
    </row>
    <row r="104" spans="4:6" x14ac:dyDescent="0.3">
      <c r="D104" s="205"/>
      <c r="E104" s="205"/>
      <c r="F104" s="205"/>
    </row>
    <row r="105" spans="4:6" x14ac:dyDescent="0.3">
      <c r="D105" s="205"/>
      <c r="E105" s="205"/>
      <c r="F105" s="205"/>
    </row>
    <row r="106" spans="4:6" x14ac:dyDescent="0.3">
      <c r="D106" s="205"/>
      <c r="E106" s="205"/>
      <c r="F106" s="205"/>
    </row>
    <row r="107" spans="4:6" x14ac:dyDescent="0.3">
      <c r="D107" s="205"/>
      <c r="E107" s="205"/>
      <c r="F107" s="205"/>
    </row>
    <row r="108" spans="4:6" x14ac:dyDescent="0.3">
      <c r="D108" s="205"/>
      <c r="E108" s="205"/>
      <c r="F108" s="205"/>
    </row>
    <row r="109" spans="4:6" x14ac:dyDescent="0.3">
      <c r="D109" s="205"/>
      <c r="E109" s="205"/>
      <c r="F109" s="205"/>
    </row>
    <row r="110" spans="4:6" x14ac:dyDescent="0.3">
      <c r="D110" s="3"/>
      <c r="E110" s="3"/>
      <c r="F110" s="3"/>
    </row>
    <row r="111" spans="4:6" x14ac:dyDescent="0.3">
      <c r="D111" s="205"/>
      <c r="E111" s="205"/>
      <c r="F111" s="205"/>
    </row>
    <row r="112" spans="4:6" x14ac:dyDescent="0.3">
      <c r="D112" s="205"/>
      <c r="E112" s="205"/>
      <c r="F112" s="205"/>
    </row>
    <row r="113" spans="4:6" x14ac:dyDescent="0.3">
      <c r="D113" s="205"/>
      <c r="E113" s="205"/>
      <c r="F113" s="205"/>
    </row>
    <row r="114" spans="4:6" x14ac:dyDescent="0.3">
      <c r="D114" s="205"/>
      <c r="E114" s="205"/>
      <c r="F114" s="205"/>
    </row>
    <row r="115" spans="4:6" x14ac:dyDescent="0.3">
      <c r="D115" s="205"/>
      <c r="E115" s="205"/>
      <c r="F115" s="205"/>
    </row>
    <row r="116" spans="4:6" x14ac:dyDescent="0.3">
      <c r="D116" s="205"/>
      <c r="E116" s="205"/>
      <c r="F116" s="205"/>
    </row>
    <row r="117" spans="4:6" x14ac:dyDescent="0.3">
      <c r="D117" s="205"/>
      <c r="E117" s="205"/>
      <c r="F117" s="205"/>
    </row>
    <row r="118" spans="4:6" x14ac:dyDescent="0.3">
      <c r="D118" s="205"/>
      <c r="E118" s="205"/>
      <c r="F118" s="205"/>
    </row>
    <row r="119" spans="4:6" x14ac:dyDescent="0.3">
      <c r="D119" s="205"/>
      <c r="E119" s="205"/>
      <c r="F119" s="205"/>
    </row>
    <row r="120" spans="4:6" x14ac:dyDescent="0.3">
      <c r="D120" s="205"/>
      <c r="E120" s="205"/>
      <c r="F120" s="205"/>
    </row>
    <row r="121" spans="4:6" x14ac:dyDescent="0.3">
      <c r="D121" s="205"/>
      <c r="E121" s="205"/>
      <c r="F121" s="205"/>
    </row>
    <row r="122" spans="4:6" x14ac:dyDescent="0.3">
      <c r="D122" s="205"/>
      <c r="E122" s="205"/>
      <c r="F122" s="205"/>
    </row>
    <row r="123" spans="4:6" x14ac:dyDescent="0.3">
      <c r="D123" s="205"/>
      <c r="E123" s="205"/>
      <c r="F123" s="205"/>
    </row>
    <row r="124" spans="4:6" x14ac:dyDescent="0.3">
      <c r="D124" s="205"/>
      <c r="E124" s="205"/>
      <c r="F124" s="205"/>
    </row>
    <row r="125" spans="4:6" x14ac:dyDescent="0.3">
      <c r="D125" s="205"/>
      <c r="E125" s="205"/>
      <c r="F125" s="20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4883-3BE1-4AEF-A7F9-661B6F1BB43D}">
  <dimension ref="A1:J95"/>
  <sheetViews>
    <sheetView zoomScale="38" workbookViewId="0">
      <selection activeCell="O93" sqref="O93"/>
    </sheetView>
  </sheetViews>
  <sheetFormatPr defaultRowHeight="14" x14ac:dyDescent="0.3"/>
  <cols>
    <col min="2" max="2" width="14.26953125" customWidth="1"/>
    <col min="3" max="3" width="18.54296875" customWidth="1"/>
    <col min="4" max="4" width="16.08984375" customWidth="1"/>
    <col min="5" max="5" width="28.453125" customWidth="1"/>
    <col min="6" max="6" width="26.453125" customWidth="1"/>
  </cols>
  <sheetData>
    <row r="1" spans="1:10" x14ac:dyDescent="0.3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ht="27.5" x14ac:dyDescent="0.3">
      <c r="A2" s="3"/>
      <c r="B2" s="125" t="s">
        <v>104</v>
      </c>
      <c r="C2" s="3"/>
      <c r="D2" s="3"/>
      <c r="E2" s="3"/>
      <c r="F2" s="3"/>
      <c r="G2" s="3"/>
      <c r="H2" s="3"/>
      <c r="I2" s="3"/>
      <c r="J2" s="3"/>
    </row>
    <row r="3" spans="1:10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40" customHeight="1" x14ac:dyDescent="0.3">
      <c r="A4" s="3"/>
      <c r="B4" s="223" t="s">
        <v>0</v>
      </c>
      <c r="C4" s="223" t="s">
        <v>1</v>
      </c>
      <c r="D4" s="223" t="s">
        <v>8</v>
      </c>
      <c r="E4" s="223" t="s">
        <v>41</v>
      </c>
      <c r="F4" s="223" t="s">
        <v>42</v>
      </c>
      <c r="G4" s="3"/>
      <c r="H4" s="3"/>
      <c r="I4" s="3"/>
      <c r="J4" s="3"/>
    </row>
    <row r="5" spans="1:10" x14ac:dyDescent="0.3">
      <c r="A5" s="3"/>
      <c r="B5" s="176">
        <f>'ULTA Q Rev (Acual)'!B5</f>
        <v>38472</v>
      </c>
      <c r="C5" s="105">
        <f>'ULTA Q Rev (Acual)'!C5</f>
        <v>144769</v>
      </c>
      <c r="D5" s="26"/>
      <c r="E5" s="26"/>
      <c r="F5" s="26"/>
      <c r="G5" s="3"/>
      <c r="H5" s="3"/>
      <c r="I5" s="3"/>
      <c r="J5" s="3"/>
    </row>
    <row r="6" spans="1:10" x14ac:dyDescent="0.3">
      <c r="A6" s="3"/>
      <c r="B6" s="176">
        <f>'ULTA Q Rev (Acual)'!B6</f>
        <v>38564</v>
      </c>
      <c r="C6" s="105">
        <f>'ULTA Q Rev (Acual)'!C6</f>
        <v>144769</v>
      </c>
      <c r="D6" s="26"/>
      <c r="E6" s="26"/>
      <c r="F6" s="26"/>
      <c r="G6" s="3"/>
      <c r="H6" s="3"/>
      <c r="I6" s="3"/>
      <c r="J6" s="3"/>
    </row>
    <row r="7" spans="1:10" x14ac:dyDescent="0.3">
      <c r="A7" s="3"/>
      <c r="B7" s="176">
        <f>'ULTA Q Rev (Acual)'!B7</f>
        <v>38656</v>
      </c>
      <c r="C7" s="105">
        <f>'ULTA Q Rev (Acual)'!C7</f>
        <v>144769</v>
      </c>
      <c r="D7" s="26"/>
      <c r="E7" s="26"/>
      <c r="F7" s="26"/>
      <c r="G7" s="3"/>
      <c r="H7" s="3"/>
      <c r="I7" s="3"/>
      <c r="J7" s="3"/>
    </row>
    <row r="8" spans="1:10" x14ac:dyDescent="0.3">
      <c r="A8" s="3"/>
      <c r="B8" s="176">
        <f>'ULTA Q Rev (Acual)'!B8</f>
        <v>38748</v>
      </c>
      <c r="C8" s="105">
        <f>'ULTA Q Rev (Acual)'!C8</f>
        <v>144768</v>
      </c>
      <c r="D8" s="26"/>
      <c r="E8" s="26"/>
      <c r="F8" s="26"/>
      <c r="G8" s="3"/>
      <c r="H8" s="3"/>
      <c r="I8" s="3"/>
      <c r="J8" s="3"/>
    </row>
    <row r="9" spans="1:10" x14ac:dyDescent="0.3">
      <c r="A9" s="3"/>
      <c r="B9" s="176">
        <f>'ULTA Q Rev (Acual)'!B9</f>
        <v>38837</v>
      </c>
      <c r="C9" s="105">
        <f>'ULTA Q Rev (Acual)'!C9</f>
        <v>159468</v>
      </c>
      <c r="D9" s="26"/>
      <c r="E9" s="26"/>
      <c r="F9" s="26"/>
      <c r="G9" s="3"/>
      <c r="H9" s="3"/>
      <c r="I9" s="3"/>
      <c r="J9" s="3"/>
    </row>
    <row r="10" spans="1:10" x14ac:dyDescent="0.3">
      <c r="A10" s="3"/>
      <c r="B10" s="176">
        <f>'ULTA Q Rev (Acual)'!B10</f>
        <v>38929</v>
      </c>
      <c r="C10" s="105">
        <f>'ULTA Q Rev (Acual)'!C10</f>
        <v>162558</v>
      </c>
      <c r="D10" s="26"/>
      <c r="E10" s="26"/>
      <c r="F10" s="26"/>
      <c r="G10" s="3"/>
      <c r="H10" s="3"/>
      <c r="I10" s="3"/>
      <c r="J10" s="3"/>
    </row>
    <row r="11" spans="1:10" x14ac:dyDescent="0.3">
      <c r="A11" s="3"/>
      <c r="B11" s="176">
        <f>'ULTA Q Rev (Acual)'!B11</f>
        <v>39021</v>
      </c>
      <c r="C11" s="105">
        <f>'ULTA Q Rev (Acual)'!C11</f>
        <v>216544</v>
      </c>
      <c r="D11" s="26"/>
      <c r="E11" s="26"/>
      <c r="F11" s="26"/>
      <c r="G11" s="3"/>
      <c r="H11" s="3"/>
      <c r="I11" s="13"/>
      <c r="J11" s="3"/>
    </row>
    <row r="12" spans="1:10" x14ac:dyDescent="0.3">
      <c r="A12" s="3"/>
      <c r="B12" s="176">
        <f>'ULTA Q Rev (Acual)'!B12</f>
        <v>39113</v>
      </c>
      <c r="C12" s="105">
        <f>'ULTA Q Rev (Acual)'!C12</f>
        <v>216543</v>
      </c>
      <c r="D12" s="26"/>
      <c r="E12" s="26"/>
      <c r="F12" s="26"/>
      <c r="G12" s="3"/>
      <c r="H12" s="3"/>
      <c r="I12" s="3"/>
      <c r="J12" s="3"/>
    </row>
    <row r="13" spans="1:10" x14ac:dyDescent="0.3">
      <c r="A13" s="3"/>
      <c r="B13" s="176">
        <f>'ULTA Q Rev (Acual)'!B13</f>
        <v>39202</v>
      </c>
      <c r="C13" s="105">
        <f>'ULTA Q Rev (Acual)'!C13</f>
        <v>194113</v>
      </c>
      <c r="D13" s="26"/>
      <c r="E13" s="26"/>
      <c r="F13" s="26"/>
      <c r="G13" s="3"/>
      <c r="H13" s="3"/>
      <c r="I13" s="3"/>
      <c r="J13" s="3"/>
    </row>
    <row r="14" spans="1:10" x14ac:dyDescent="0.3">
      <c r="A14" s="3"/>
      <c r="B14" s="176">
        <f>'ULTA Q Rev (Acual)'!B14</f>
        <v>39293</v>
      </c>
      <c r="C14" s="105">
        <f>'ULTA Q Rev (Acual)'!C14</f>
        <v>200449</v>
      </c>
      <c r="D14" s="26"/>
      <c r="E14" s="26"/>
      <c r="F14" s="26"/>
      <c r="G14" s="3"/>
      <c r="H14" s="3"/>
      <c r="I14" s="3"/>
      <c r="J14" s="3"/>
    </row>
    <row r="15" spans="1:10" x14ac:dyDescent="0.3">
      <c r="A15" s="3"/>
      <c r="B15" s="176">
        <f>'ULTA Q Rev (Acual)'!B15</f>
        <v>39386</v>
      </c>
      <c r="C15" s="105">
        <f>'ULTA Q Rev (Acual)'!C15</f>
        <v>208235</v>
      </c>
      <c r="D15" s="26"/>
      <c r="E15" s="26"/>
      <c r="F15" s="26"/>
      <c r="G15" s="3"/>
      <c r="H15" s="3"/>
      <c r="I15" s="3"/>
      <c r="J15" s="3"/>
    </row>
    <row r="16" spans="1:10" x14ac:dyDescent="0.3">
      <c r="A16" s="3"/>
      <c r="B16" s="176">
        <f>'ULTA Q Rev (Acual)'!B16</f>
        <v>39478</v>
      </c>
      <c r="C16" s="105">
        <f>'ULTA Q Rev (Acual)'!C16</f>
        <v>309344</v>
      </c>
      <c r="D16" s="26"/>
      <c r="E16" s="26"/>
      <c r="F16" s="26"/>
      <c r="G16" s="3"/>
      <c r="H16" s="3"/>
      <c r="I16" s="3"/>
      <c r="J16" s="3"/>
    </row>
    <row r="17" spans="1:10" x14ac:dyDescent="0.3">
      <c r="A17" s="3"/>
      <c r="B17" s="176">
        <f>'ULTA Q Rev (Acual)'!B17</f>
        <v>39568</v>
      </c>
      <c r="C17" s="105">
        <f>'ULTA Q Rev (Acual)'!C17</f>
        <v>239298</v>
      </c>
      <c r="D17" s="26"/>
      <c r="E17" s="26"/>
      <c r="F17" s="26"/>
      <c r="G17" s="3"/>
      <c r="H17" s="3"/>
      <c r="I17" s="3"/>
      <c r="J17" s="3"/>
    </row>
    <row r="18" spans="1:10" x14ac:dyDescent="0.3">
      <c r="A18" s="3"/>
      <c r="B18" s="176">
        <f>'ULTA Q Rev (Acual)'!B18</f>
        <v>39660</v>
      </c>
      <c r="C18" s="105">
        <f>'ULTA Q Rev (Acual)'!C18</f>
        <v>249111</v>
      </c>
      <c r="D18" s="26"/>
      <c r="E18" s="26"/>
      <c r="F18" s="26"/>
      <c r="G18" s="3"/>
      <c r="H18" s="3"/>
      <c r="I18" s="3"/>
      <c r="J18" s="3"/>
    </row>
    <row r="19" spans="1:10" x14ac:dyDescent="0.3">
      <c r="A19" s="3"/>
      <c r="B19" s="176">
        <f>'ULTA Q Rev (Acual)'!B19</f>
        <v>39752</v>
      </c>
      <c r="C19" s="105">
        <f>'ULTA Q Rev (Acual)'!C19</f>
        <v>254843</v>
      </c>
      <c r="D19" s="26"/>
      <c r="E19" s="26"/>
      <c r="F19" s="26"/>
      <c r="G19" s="3"/>
      <c r="H19" s="3"/>
      <c r="I19" s="3"/>
      <c r="J19" s="3"/>
    </row>
    <row r="20" spans="1:10" x14ac:dyDescent="0.3">
      <c r="A20" s="3"/>
      <c r="B20" s="176">
        <f>'ULTA Q Rev (Acual)'!B20</f>
        <v>39844</v>
      </c>
      <c r="C20" s="105">
        <f>'ULTA Q Rev (Acual)'!C20</f>
        <v>341394</v>
      </c>
      <c r="D20" s="26"/>
      <c r="E20" s="26"/>
      <c r="F20" s="26"/>
      <c r="G20" s="3"/>
      <c r="H20" s="3"/>
      <c r="I20" s="3"/>
      <c r="J20" s="3"/>
    </row>
    <row r="21" spans="1:10" x14ac:dyDescent="0.3">
      <c r="A21" s="3"/>
      <c r="B21" s="176">
        <f>'ULTA Q Rev (Acual)'!B21</f>
        <v>39933</v>
      </c>
      <c r="C21" s="105">
        <f>'ULTA Q Rev (Acual)'!C21</f>
        <v>268825</v>
      </c>
      <c r="D21" s="26"/>
      <c r="E21" s="26"/>
      <c r="F21" s="26"/>
      <c r="G21" s="3"/>
      <c r="H21" s="3"/>
      <c r="I21" s="3"/>
      <c r="J21" s="3"/>
    </row>
    <row r="22" spans="1:10" x14ac:dyDescent="0.3">
      <c r="A22" s="3"/>
      <c r="B22" s="176">
        <f>'ULTA Q Rev (Acual)'!B22</f>
        <v>40025</v>
      </c>
      <c r="C22" s="105">
        <f>'ULTA Q Rev (Acual)'!C22</f>
        <v>273539</v>
      </c>
      <c r="D22" s="26"/>
      <c r="E22" s="26"/>
      <c r="F22" s="26"/>
      <c r="G22" s="3"/>
      <c r="H22" s="3"/>
      <c r="I22" s="3"/>
      <c r="J22" s="3"/>
    </row>
    <row r="23" spans="1:10" x14ac:dyDescent="0.3">
      <c r="A23" s="3"/>
      <c r="B23" s="176">
        <f>'ULTA Q Rev (Acual)'!B23</f>
        <v>40117</v>
      </c>
      <c r="C23" s="105">
        <f>'ULTA Q Rev (Acual)'!C23</f>
        <v>284043</v>
      </c>
      <c r="D23" s="26"/>
      <c r="E23" s="26"/>
      <c r="F23" s="26"/>
      <c r="G23" s="3"/>
      <c r="H23" s="3"/>
      <c r="I23" s="3"/>
      <c r="J23" s="3"/>
    </row>
    <row r="24" spans="1:10" x14ac:dyDescent="0.3">
      <c r="A24" s="3"/>
      <c r="B24" s="176">
        <f>'ULTA Q Rev (Acual)'!B24</f>
        <v>40209</v>
      </c>
      <c r="C24" s="105">
        <f>'ULTA Q Rev (Acual)'!C24</f>
        <v>396364</v>
      </c>
      <c r="D24" s="26"/>
      <c r="E24" s="26"/>
      <c r="F24" s="26"/>
      <c r="G24" s="3"/>
      <c r="H24" s="3"/>
      <c r="I24" s="3"/>
      <c r="J24" s="3"/>
    </row>
    <row r="25" spans="1:10" x14ac:dyDescent="0.3">
      <c r="A25" s="3"/>
      <c r="B25" s="176">
        <f>'ULTA Q Rev (Acual)'!B25</f>
        <v>40298</v>
      </c>
      <c r="C25" s="105">
        <f>'ULTA Q Rev (Acual)'!C25</f>
        <v>320196</v>
      </c>
      <c r="D25" s="26"/>
      <c r="E25" s="26"/>
      <c r="F25" s="26"/>
      <c r="G25" s="3"/>
      <c r="H25" s="3"/>
      <c r="I25" s="3"/>
      <c r="J25" s="3"/>
    </row>
    <row r="26" spans="1:10" x14ac:dyDescent="0.3">
      <c r="A26" s="3"/>
      <c r="B26" s="176">
        <f>'ULTA Q Rev (Acual)'!B26</f>
        <v>40390</v>
      </c>
      <c r="C26" s="105">
        <f>'ULTA Q Rev (Acual)'!C26</f>
        <v>321804</v>
      </c>
      <c r="D26" s="26"/>
      <c r="E26" s="26"/>
      <c r="F26" s="26"/>
      <c r="G26" s="3"/>
      <c r="H26" s="3"/>
      <c r="I26" s="3"/>
      <c r="J26" s="3"/>
    </row>
    <row r="27" spans="1:10" x14ac:dyDescent="0.3">
      <c r="A27" s="3"/>
      <c r="B27" s="176">
        <f>'ULTA Q Rev (Acual)'!B27</f>
        <v>40482</v>
      </c>
      <c r="C27" s="105">
        <f>'ULTA Q Rev (Acual)'!C27</f>
        <v>339179</v>
      </c>
      <c r="D27" s="26"/>
      <c r="E27" s="26"/>
      <c r="F27" s="26"/>
      <c r="G27" s="3"/>
      <c r="H27" s="3"/>
      <c r="I27" s="3"/>
      <c r="J27" s="3"/>
    </row>
    <row r="28" spans="1:10" x14ac:dyDescent="0.3">
      <c r="A28" s="3"/>
      <c r="B28" s="176">
        <f>'ULTA Q Rev (Acual)'!B28</f>
        <v>40574</v>
      </c>
      <c r="C28" s="105">
        <f>'ULTA Q Rev (Acual)'!C28</f>
        <v>473659</v>
      </c>
      <c r="D28" s="26"/>
      <c r="E28" s="26"/>
      <c r="F28" s="26"/>
      <c r="G28" s="3"/>
      <c r="H28" s="3"/>
      <c r="I28" s="3"/>
      <c r="J28" s="3"/>
    </row>
    <row r="29" spans="1:10" x14ac:dyDescent="0.3">
      <c r="A29" s="3"/>
      <c r="B29" s="176">
        <f>'ULTA Q Rev (Acual)'!B29</f>
        <v>40663</v>
      </c>
      <c r="C29" s="105">
        <f>'ULTA Q Rev (Acual)'!C29</f>
        <v>386006</v>
      </c>
      <c r="D29" s="26"/>
      <c r="E29" s="26"/>
      <c r="F29" s="26"/>
      <c r="G29" s="3"/>
      <c r="H29" s="3"/>
      <c r="I29" s="3"/>
      <c r="J29" s="3"/>
    </row>
    <row r="30" spans="1:10" x14ac:dyDescent="0.3">
      <c r="A30" s="3"/>
      <c r="B30" s="176">
        <f>'ULTA Q Rev (Acual)'!B30</f>
        <v>40755</v>
      </c>
      <c r="C30" s="105">
        <f>'ULTA Q Rev (Acual)'!C30</f>
        <v>394567</v>
      </c>
      <c r="D30" s="26"/>
      <c r="E30" s="26"/>
      <c r="F30" s="26"/>
      <c r="G30" s="3"/>
      <c r="H30" s="3"/>
      <c r="I30" s="3"/>
      <c r="J30" s="3"/>
    </row>
    <row r="31" spans="1:10" x14ac:dyDescent="0.3">
      <c r="A31" s="3"/>
      <c r="B31" s="176">
        <f>'ULTA Q Rev (Acual)'!B31</f>
        <v>40847</v>
      </c>
      <c r="C31" s="105">
        <f>'ULTA Q Rev (Acual)'!C31</f>
        <v>413067</v>
      </c>
      <c r="D31" s="26"/>
      <c r="E31" s="26"/>
      <c r="F31" s="26"/>
      <c r="G31" s="3"/>
      <c r="H31" s="3"/>
      <c r="I31" s="3"/>
      <c r="J31" s="3"/>
    </row>
    <row r="32" spans="1:10" x14ac:dyDescent="0.3">
      <c r="A32" s="3"/>
      <c r="B32" s="176">
        <f>'ULTA Q Rev (Acual)'!B32</f>
        <v>40939</v>
      </c>
      <c r="C32" s="105">
        <f>'ULTA Q Rev (Acual)'!C32</f>
        <v>582511</v>
      </c>
      <c r="D32" s="26"/>
      <c r="E32" s="26"/>
      <c r="F32" s="26"/>
      <c r="G32" s="3"/>
      <c r="H32" s="3"/>
      <c r="I32" s="3"/>
      <c r="J32" s="3"/>
    </row>
    <row r="33" spans="1:10" x14ac:dyDescent="0.3">
      <c r="A33" s="3"/>
      <c r="B33" s="176">
        <f>'ULTA Q Rev (Acual)'!B33</f>
        <v>41029</v>
      </c>
      <c r="C33" s="105">
        <f>'ULTA Q Rev (Acual)'!C33</f>
        <v>474098</v>
      </c>
      <c r="D33" s="26"/>
      <c r="E33" s="26"/>
      <c r="F33" s="26"/>
      <c r="G33" s="3"/>
      <c r="H33" s="3"/>
      <c r="I33" s="3"/>
      <c r="J33" s="3"/>
    </row>
    <row r="34" spans="1:10" x14ac:dyDescent="0.3">
      <c r="A34" s="3"/>
      <c r="B34" s="176">
        <f>'ULTA Q Rev (Acual)'!B34</f>
        <v>41121</v>
      </c>
      <c r="C34" s="105">
        <f>'ULTA Q Rev (Acual)'!C34</f>
        <v>481683</v>
      </c>
      <c r="D34" s="26"/>
      <c r="E34" s="26"/>
      <c r="F34" s="26"/>
      <c r="G34" s="3"/>
      <c r="H34" s="3"/>
      <c r="I34" s="3"/>
      <c r="J34" s="3"/>
    </row>
    <row r="35" spans="1:10" x14ac:dyDescent="0.3">
      <c r="A35" s="3"/>
      <c r="B35" s="176">
        <f>'ULTA Q Rev (Acual)'!B35</f>
        <v>41213</v>
      </c>
      <c r="C35" s="105">
        <f>'ULTA Q Rev (Acual)'!C35</f>
        <v>505640</v>
      </c>
      <c r="D35" s="221"/>
      <c r="E35" s="221"/>
      <c r="F35" s="221"/>
      <c r="G35" s="3"/>
      <c r="H35" s="3"/>
      <c r="I35" s="3"/>
      <c r="J35" s="3"/>
    </row>
    <row r="36" spans="1:10" x14ac:dyDescent="0.3">
      <c r="A36" s="3"/>
      <c r="B36" s="176">
        <f>'ULTA Q Rev (Acual)'!B36</f>
        <v>41365</v>
      </c>
      <c r="C36" s="105">
        <f>'ULTA Q Rev (Acual)'!C36</f>
        <v>758835</v>
      </c>
      <c r="D36" s="221"/>
      <c r="E36" s="221"/>
      <c r="F36" s="221"/>
      <c r="G36" s="3"/>
      <c r="H36" s="3"/>
      <c r="I36" s="3"/>
      <c r="J36" s="3"/>
    </row>
    <row r="37" spans="1:10" x14ac:dyDescent="0.3">
      <c r="A37" s="3"/>
      <c r="B37" s="176">
        <f>'ULTA Q Rev (Acual)'!B37</f>
        <v>41435</v>
      </c>
      <c r="C37" s="105">
        <f>'ULTA Q Rev (Acual)'!C37</f>
        <v>582712</v>
      </c>
      <c r="D37" s="221"/>
      <c r="E37" s="221"/>
      <c r="F37" s="221"/>
      <c r="G37" s="3"/>
      <c r="H37" s="3"/>
      <c r="I37" s="3"/>
      <c r="J37" s="3"/>
    </row>
    <row r="38" spans="1:10" x14ac:dyDescent="0.3">
      <c r="A38" s="3"/>
      <c r="B38" s="176">
        <f>'ULTA Q Rev (Acual)'!B38</f>
        <v>41528</v>
      </c>
      <c r="C38" s="105">
        <f>'ULTA Q Rev (Acual)'!C38</f>
        <v>600998</v>
      </c>
      <c r="D38" s="221"/>
      <c r="E38" s="221"/>
      <c r="F38" s="221"/>
      <c r="G38" s="3"/>
      <c r="H38" s="3"/>
      <c r="I38" s="3"/>
      <c r="J38" s="3"/>
    </row>
    <row r="39" spans="1:10" x14ac:dyDescent="0.3">
      <c r="A39" s="3"/>
      <c r="B39" s="176">
        <f>'ULTA Q Rev (Acual)'!B39</f>
        <v>41612</v>
      </c>
      <c r="C39" s="105">
        <f>'ULTA Q Rev (Acual)'!C39</f>
        <v>618781</v>
      </c>
      <c r="D39" s="219"/>
      <c r="E39" s="219"/>
      <c r="F39" s="219"/>
      <c r="G39" s="3"/>
      <c r="H39" s="36"/>
      <c r="I39" s="36"/>
      <c r="J39" s="36"/>
    </row>
    <row r="40" spans="1:10" ht="15" x14ac:dyDescent="0.3">
      <c r="A40" s="3"/>
      <c r="B40" s="176">
        <f>'ULTA Q Rev (Acual)'!B40</f>
        <v>41728</v>
      </c>
      <c r="C40" s="105">
        <f>'ULTA Q Rev (Acual)'!C40</f>
        <v>868082</v>
      </c>
      <c r="D40" s="222"/>
      <c r="E40" s="222"/>
      <c r="F40" s="222"/>
      <c r="G40" s="3"/>
      <c r="H40" s="36"/>
      <c r="I40" s="36"/>
      <c r="J40" s="36"/>
    </row>
    <row r="41" spans="1:10" ht="15" x14ac:dyDescent="0.3">
      <c r="A41" s="3"/>
      <c r="B41" s="176">
        <f>'ULTA Q Rev (Acual)'!B41</f>
        <v>41794</v>
      </c>
      <c r="C41" s="105">
        <f>'ULTA Q Rev (Acual)'!C41</f>
        <v>713770</v>
      </c>
      <c r="D41" s="222"/>
      <c r="E41" s="222"/>
      <c r="F41" s="222"/>
      <c r="G41" s="3"/>
      <c r="H41" s="36"/>
      <c r="I41" s="36"/>
      <c r="J41" s="36"/>
    </row>
    <row r="42" spans="1:10" ht="15" x14ac:dyDescent="0.3">
      <c r="A42" s="3"/>
      <c r="B42" s="176">
        <f>'ULTA Q Rev (Acual)'!B42</f>
        <v>41823</v>
      </c>
      <c r="C42" s="105">
        <f>'ULTA Q Rev (Acual)'!C42</f>
        <v>734236</v>
      </c>
      <c r="D42" s="222"/>
      <c r="E42" s="222"/>
      <c r="F42" s="222"/>
      <c r="G42" s="3"/>
      <c r="H42" s="36"/>
      <c r="I42" s="36"/>
      <c r="J42" s="36"/>
    </row>
    <row r="43" spans="1:10" ht="15" x14ac:dyDescent="0.3">
      <c r="A43" s="3"/>
      <c r="B43" s="176">
        <f>'ULTA Q Rev (Acual)'!B43</f>
        <v>41976</v>
      </c>
      <c r="C43" s="105">
        <f>'ULTA Q Rev (Acual)'!C43</f>
        <v>745722</v>
      </c>
      <c r="D43" s="222"/>
      <c r="E43" s="222"/>
      <c r="F43" s="222"/>
      <c r="G43" s="3"/>
      <c r="H43" s="36"/>
      <c r="I43" s="36"/>
      <c r="J43" s="36"/>
    </row>
    <row r="44" spans="1:10" x14ac:dyDescent="0.3">
      <c r="A44" s="3"/>
      <c r="B44" s="176">
        <f>'ULTA Q Rev (Acual)'!B44</f>
        <v>42091</v>
      </c>
      <c r="C44" s="105">
        <f>'ULTA Q Rev (Acual)'!C44</f>
        <v>1047641</v>
      </c>
      <c r="D44" s="221"/>
      <c r="E44" s="221"/>
      <c r="F44" s="221"/>
      <c r="G44" s="3"/>
      <c r="H44" s="3"/>
      <c r="I44" s="3"/>
      <c r="J44" s="3"/>
    </row>
    <row r="45" spans="1:10" x14ac:dyDescent="0.3">
      <c r="A45" s="3"/>
      <c r="B45" s="176">
        <f>'ULTA Q Rev (Acual)'!B45</f>
        <v>42157</v>
      </c>
      <c r="C45" s="105">
        <f>'ULTA Q Rev (Acual)'!C45</f>
        <v>868122</v>
      </c>
      <c r="D45" s="221"/>
      <c r="E45" s="221"/>
      <c r="F45" s="221"/>
      <c r="G45" s="3"/>
      <c r="H45" s="3"/>
      <c r="I45" s="3"/>
      <c r="J45" s="3"/>
    </row>
    <row r="46" spans="1:10" x14ac:dyDescent="0.3">
      <c r="B46" s="176">
        <f>'ULTA Q Rev (Acual)'!B46</f>
        <v>42241</v>
      </c>
      <c r="C46" s="105">
        <f>'ULTA Q Rev (Acual)'!C46</f>
        <v>876999</v>
      </c>
      <c r="D46" s="221"/>
      <c r="E46" s="221"/>
      <c r="F46" s="221"/>
    </row>
    <row r="47" spans="1:10" x14ac:dyDescent="0.3">
      <c r="B47" s="176">
        <f>'ULTA Q Rev (Acual)'!B47</f>
        <v>42339</v>
      </c>
      <c r="C47" s="105">
        <f>'ULTA Q Rev (Acual)'!C47</f>
        <v>910700</v>
      </c>
      <c r="D47" s="221"/>
      <c r="E47" s="221"/>
      <c r="F47" s="221"/>
    </row>
    <row r="48" spans="1:10" x14ac:dyDescent="0.3">
      <c r="B48" s="176">
        <f>'ULTA Q Rev (Acual)'!B48</f>
        <v>42463</v>
      </c>
      <c r="C48" s="105">
        <f>'ULTA Q Rev (Acual)'!C48</f>
        <v>1268295</v>
      </c>
      <c r="D48" s="221"/>
      <c r="E48" s="221"/>
      <c r="F48" s="221"/>
    </row>
    <row r="49" spans="2:6" x14ac:dyDescent="0.3">
      <c r="B49" s="176">
        <f>'ULTA Q Rev (Acual)'!B49</f>
        <v>42522</v>
      </c>
      <c r="C49" s="105">
        <f>'ULTA Q Rev (Acual)'!C49</f>
        <v>1073716</v>
      </c>
      <c r="D49" s="221"/>
      <c r="E49" s="221"/>
      <c r="F49" s="221"/>
    </row>
    <row r="50" spans="2:6" x14ac:dyDescent="0.3">
      <c r="B50" s="176">
        <f>'ULTA Q Rev (Acual)'!B50</f>
        <v>42613</v>
      </c>
      <c r="C50" s="105">
        <f>'ULTA Q Rev (Acual)'!C50</f>
        <v>1069215</v>
      </c>
      <c r="D50" s="221"/>
      <c r="E50" s="221"/>
      <c r="F50" s="221"/>
    </row>
    <row r="51" spans="2:6" x14ac:dyDescent="0.3">
      <c r="B51" s="176">
        <f>'ULTA Q Rev (Acual)'!B51</f>
        <v>42704</v>
      </c>
      <c r="C51" s="105">
        <f>'ULTA Q Rev (Acual)'!C51</f>
        <v>1131232</v>
      </c>
      <c r="D51" s="221"/>
      <c r="E51" s="221"/>
      <c r="F51" s="221"/>
    </row>
    <row r="52" spans="2:6" x14ac:dyDescent="0.3">
      <c r="B52" s="176">
        <f>'ULTA Q Rev (Acual)'!B52</f>
        <v>42827</v>
      </c>
      <c r="C52" s="105">
        <f>'ULTA Q Rev (Acual)'!C52</f>
        <v>1580574</v>
      </c>
      <c r="D52" s="221"/>
      <c r="E52" s="221"/>
      <c r="F52" s="221"/>
    </row>
    <row r="53" spans="2:6" x14ac:dyDescent="0.3">
      <c r="B53" s="176">
        <f>'ULTA Q Rev (Acual)'!B53</f>
        <v>42887</v>
      </c>
      <c r="C53" s="105">
        <f>'ULTA Q Rev (Acual)'!C53</f>
        <v>1314879</v>
      </c>
      <c r="D53" s="221"/>
      <c r="E53" s="221"/>
      <c r="F53" s="221"/>
    </row>
    <row r="54" spans="2:6" x14ac:dyDescent="0.3">
      <c r="B54" s="176">
        <f>'ULTA Q Rev (Acual)'!B54</f>
        <v>42977</v>
      </c>
      <c r="C54" s="105">
        <f>'ULTA Q Rev (Acual)'!C54</f>
        <v>1289854</v>
      </c>
      <c r="D54" s="221"/>
      <c r="E54" s="221"/>
      <c r="F54" s="221"/>
    </row>
    <row r="55" spans="2:6" x14ac:dyDescent="0.3">
      <c r="B55" s="176">
        <f>'ULTA Q Rev (Acual)'!B55</f>
        <v>43075</v>
      </c>
      <c r="C55" s="105">
        <f>'ULTA Q Rev (Acual)'!C55</f>
        <v>1342181</v>
      </c>
      <c r="D55" s="221"/>
      <c r="E55" s="221"/>
      <c r="F55" s="221"/>
    </row>
    <row r="56" spans="2:6" x14ac:dyDescent="0.3">
      <c r="B56" s="176">
        <f>'ULTA Q Rev (Acual)'!B56</f>
        <v>43186</v>
      </c>
      <c r="C56" s="105">
        <f>'ULTA Q Rev (Acual)'!C56</f>
        <v>1937592</v>
      </c>
      <c r="D56" s="221"/>
      <c r="E56" s="221"/>
      <c r="F56" s="221"/>
    </row>
    <row r="57" spans="2:6" x14ac:dyDescent="0.3">
      <c r="B57" s="176">
        <f>'ULTA Q Rev (Acual)'!B57</f>
        <v>43250</v>
      </c>
      <c r="C57" s="105">
        <f>'ULTA Q Rev (Acual)'!C57</f>
        <v>1543667</v>
      </c>
      <c r="D57" s="221"/>
      <c r="E57" s="221"/>
      <c r="F57" s="221"/>
    </row>
    <row r="58" spans="2:6" x14ac:dyDescent="0.3">
      <c r="B58" s="176">
        <f>'ULTA Q Rev (Acual)'!B58</f>
        <v>43341</v>
      </c>
      <c r="C58" s="105">
        <f>'ULTA Q Rev (Acual)'!C58</f>
        <v>1488221</v>
      </c>
      <c r="D58" s="221"/>
      <c r="E58" s="221"/>
      <c r="F58" s="221"/>
    </row>
    <row r="59" spans="2:6" x14ac:dyDescent="0.3">
      <c r="B59" s="176">
        <f>'ULTA Q Rev (Acual)'!B59</f>
        <v>43439</v>
      </c>
      <c r="C59" s="105">
        <f>'ULTA Q Rev (Acual)'!C59</f>
        <v>1560011</v>
      </c>
      <c r="D59" s="221"/>
      <c r="E59" s="221"/>
      <c r="F59" s="221"/>
    </row>
    <row r="60" spans="2:6" x14ac:dyDescent="0.3">
      <c r="B60" s="176">
        <f>'ULTA Q Rev (Acual)'!B60</f>
        <v>43550</v>
      </c>
      <c r="C60" s="105">
        <f>'ULTA Q Rev (Acual)'!C60</f>
        <v>2124716</v>
      </c>
      <c r="D60" s="221"/>
      <c r="E60" s="221"/>
      <c r="F60" s="221"/>
    </row>
    <row r="61" spans="2:6" x14ac:dyDescent="0.3">
      <c r="B61" s="176">
        <f>'ULTA Q Rev (Acual)'!B61</f>
        <v>43613</v>
      </c>
      <c r="C61" s="105">
        <f>'ULTA Q Rev (Acual)'!C61</f>
        <v>1743029</v>
      </c>
      <c r="D61" s="221"/>
      <c r="E61" s="221"/>
      <c r="F61" s="221"/>
    </row>
    <row r="62" spans="2:6" x14ac:dyDescent="0.3">
      <c r="B62" s="176">
        <f>'ULTA Q Rev (Acual)'!B62</f>
        <v>43704</v>
      </c>
      <c r="C62" s="105">
        <f>'ULTA Q Rev (Acual)'!C62</f>
        <v>1666607</v>
      </c>
      <c r="D62" s="221"/>
      <c r="E62" s="221"/>
      <c r="F62" s="221"/>
    </row>
    <row r="63" spans="2:6" x14ac:dyDescent="0.3">
      <c r="B63" s="176">
        <f>'ULTA Q Rev (Acual)'!B63</f>
        <v>43802</v>
      </c>
      <c r="C63" s="105">
        <f>'ULTA Q Rev (Acual)'!C63</f>
        <v>1682514</v>
      </c>
      <c r="D63" s="221"/>
      <c r="E63" s="221"/>
      <c r="F63" s="221"/>
    </row>
    <row r="64" spans="2:6" x14ac:dyDescent="0.3">
      <c r="B64" s="176">
        <f>'ULTA Q Rev (Acual)'!B64</f>
        <v>43915</v>
      </c>
      <c r="C64" s="105">
        <f>'ULTA Q Rev (Acual)'!C64</f>
        <v>2305918</v>
      </c>
      <c r="D64" s="221"/>
      <c r="E64" s="221"/>
      <c r="F64" s="221"/>
    </row>
    <row r="65" spans="2:6" x14ac:dyDescent="0.3">
      <c r="B65" s="176">
        <f>'ULTA Q Rev (Acual)'!B65</f>
        <v>43978</v>
      </c>
      <c r="C65" s="105">
        <f>'ULTA Q Rev (Acual)'!C65</f>
        <v>1173210</v>
      </c>
      <c r="D65" s="221"/>
      <c r="E65" s="221"/>
      <c r="F65" s="221"/>
    </row>
    <row r="66" spans="2:6" x14ac:dyDescent="0.3">
      <c r="B66" s="176">
        <f>'ULTA Q Rev (Acual)'!B66</f>
        <v>44068</v>
      </c>
      <c r="C66" s="105">
        <f>'ULTA Q Rev (Acual)'!C66</f>
        <v>1228009</v>
      </c>
      <c r="D66" s="221"/>
      <c r="E66" s="221"/>
      <c r="F66" s="221"/>
    </row>
    <row r="67" spans="2:6" x14ac:dyDescent="0.3">
      <c r="B67" s="176">
        <f>'ULTA Q Rev (Acual)'!B67</f>
        <v>44167</v>
      </c>
      <c r="C67" s="105">
        <f>'ULTA Q Rev (Acual)'!C67</f>
        <v>1552033</v>
      </c>
      <c r="D67" s="221"/>
      <c r="E67" s="221"/>
      <c r="F67" s="221"/>
    </row>
    <row r="68" spans="2:6" x14ac:dyDescent="0.3">
      <c r="B68" s="176">
        <f>'ULTA Q Rev (Acual)'!B68</f>
        <v>44279</v>
      </c>
      <c r="C68" s="105">
        <f>'ULTA Q Rev (Acual)'!C68</f>
        <v>2198701</v>
      </c>
      <c r="D68" s="221"/>
      <c r="E68" s="221"/>
      <c r="F68" s="221"/>
    </row>
    <row r="69" spans="2:6" x14ac:dyDescent="0.3">
      <c r="B69" s="176">
        <f>'ULTA Q Rev (Acual)'!B69</f>
        <v>44342</v>
      </c>
      <c r="C69" s="105">
        <f>'ULTA Q Rev (Acual)'!C69</f>
        <v>1938519</v>
      </c>
      <c r="D69" s="221"/>
      <c r="E69" s="221"/>
      <c r="F69" s="221"/>
    </row>
    <row r="70" spans="2:6" x14ac:dyDescent="0.3">
      <c r="B70" s="176">
        <f>'ULTA Q Rev (Acual)'!B70</f>
        <v>44433</v>
      </c>
      <c r="C70" s="105">
        <f>'ULTA Q Rev (Acual)'!C70</f>
        <v>1967207</v>
      </c>
      <c r="D70" s="221"/>
      <c r="E70" s="221"/>
      <c r="F70" s="221"/>
    </row>
    <row r="71" spans="2:6" x14ac:dyDescent="0.3">
      <c r="B71" s="176">
        <f>'ULTA Q Rev (Acual)'!B71</f>
        <v>44531</v>
      </c>
      <c r="C71" s="105">
        <f>'ULTA Q Rev (Acual)'!C71</f>
        <v>1995775</v>
      </c>
      <c r="D71" s="221"/>
      <c r="E71" s="221"/>
      <c r="F71" s="221"/>
    </row>
    <row r="72" spans="2:6" x14ac:dyDescent="0.3">
      <c r="B72" s="176">
        <f>'ULTA Q Rev (Acual)'!B72</f>
        <v>44646</v>
      </c>
      <c r="C72" s="105">
        <f>'ULTA Q Rev (Acual)'!C72</f>
        <v>2729388</v>
      </c>
      <c r="D72" s="221"/>
      <c r="E72" s="221"/>
      <c r="F72" s="221"/>
    </row>
    <row r="73" spans="2:6" x14ac:dyDescent="0.3">
      <c r="B73" s="176">
        <f>'ULTA Q Rev (Acual)'!B73</f>
        <v>44706</v>
      </c>
      <c r="C73" s="105">
        <f>'ULTA Q Rev (Acual)'!C73</f>
        <v>2345901</v>
      </c>
      <c r="D73" s="221"/>
      <c r="E73" s="221"/>
      <c r="F73" s="221"/>
    </row>
    <row r="74" spans="2:6" x14ac:dyDescent="0.3">
      <c r="B74" s="176">
        <f>'ULTA Q Rev (Acual)'!B74</f>
        <v>44797</v>
      </c>
      <c r="C74" s="105">
        <f>'ULTA Q Rev (Acual)'!C74</f>
        <v>2297113</v>
      </c>
      <c r="D74" s="221"/>
      <c r="E74" s="221"/>
      <c r="F74" s="221"/>
    </row>
    <row r="75" spans="2:6" x14ac:dyDescent="0.3">
      <c r="B75" s="176">
        <f>'ULTA Q Rev (Acual)'!B75</f>
        <v>44895</v>
      </c>
      <c r="C75" s="105">
        <f>'ULTA Q Rev (Acual)'!C75</f>
        <v>2338793</v>
      </c>
      <c r="D75" s="221"/>
      <c r="E75" s="221"/>
      <c r="F75" s="221"/>
    </row>
    <row r="76" spans="2:6" x14ac:dyDescent="0.3">
      <c r="B76" s="176">
        <f>'ULTA Q Rev (Acual)'!B76</f>
        <v>45012</v>
      </c>
      <c r="C76" s="105">
        <f>'ULTA Q Rev (Acual)'!C76</f>
        <v>3226773</v>
      </c>
      <c r="D76" s="221"/>
      <c r="E76" s="221"/>
      <c r="F76" s="221"/>
    </row>
    <row r="77" spans="2:6" x14ac:dyDescent="0.3">
      <c r="B77" s="176">
        <f>'ULTA Q Rev (Acual)'!B77</f>
        <v>45076</v>
      </c>
      <c r="C77" s="105">
        <f>'ULTA Q Rev (Acual)'!C77</f>
        <v>2634263</v>
      </c>
      <c r="D77" s="221"/>
      <c r="E77" s="221"/>
      <c r="F77" s="221"/>
    </row>
    <row r="78" spans="2:6" x14ac:dyDescent="0.3">
      <c r="B78" s="176">
        <f>'ULTA Q Rev (Acual)'!B78</f>
        <v>45167</v>
      </c>
      <c r="C78" s="105">
        <f>'ULTA Q Rev (Acual)'!C78</f>
        <v>2529809</v>
      </c>
      <c r="D78" s="221"/>
      <c r="E78" s="221"/>
      <c r="F78" s="221"/>
    </row>
    <row r="79" spans="2:6" x14ac:dyDescent="0.3">
      <c r="B79" s="176">
        <f>'ULTA Q Rev (Acual)'!B79</f>
        <v>45265</v>
      </c>
      <c r="C79" s="105">
        <f>'ULTA Q Rev (Acual)'!C79</f>
        <v>2488933</v>
      </c>
      <c r="D79" s="221"/>
      <c r="E79" s="221"/>
      <c r="F79" s="221"/>
    </row>
    <row r="80" spans="2:6" x14ac:dyDescent="0.3">
      <c r="B80" s="176">
        <f>'ULTA Q Rev (Acual)'!B80</f>
        <v>45378</v>
      </c>
      <c r="C80" s="105">
        <f>'ULTA Q Rev (Acual)'!C80</f>
        <v>3554298</v>
      </c>
      <c r="D80" s="221"/>
      <c r="E80" s="221"/>
      <c r="F80" s="221"/>
    </row>
    <row r="81" spans="2:8" x14ac:dyDescent="0.3">
      <c r="B81" s="176">
        <f>'ULTA Q Rev (Acual)'!B81</f>
        <v>45441</v>
      </c>
      <c r="C81" s="105">
        <f>'ULTA Q Rev (Acual)'!C81</f>
        <v>2725848</v>
      </c>
      <c r="D81" s="221"/>
      <c r="E81" s="221"/>
      <c r="F81" s="221"/>
    </row>
    <row r="82" spans="2:8" x14ac:dyDescent="0.3">
      <c r="B82" s="176">
        <f>'ULTA Q Rev (Acual)'!B82</f>
        <v>45532</v>
      </c>
      <c r="C82" s="105">
        <f>'ULTA Q Rev (Acual)'!C82</f>
        <v>2552087</v>
      </c>
      <c r="D82" s="221"/>
      <c r="E82" s="221"/>
      <c r="F82" s="221"/>
    </row>
    <row r="83" spans="2:8" x14ac:dyDescent="0.3">
      <c r="B83" s="176">
        <f>'ULTA Q Rev (Acual)'!B83</f>
        <v>45631</v>
      </c>
      <c r="C83" s="105">
        <f>'ULTA Q Rev (Acual)'!C83</f>
        <v>2530100</v>
      </c>
      <c r="D83" s="221"/>
      <c r="E83" s="221"/>
      <c r="F83" s="221"/>
    </row>
    <row r="84" spans="2:8" x14ac:dyDescent="0.3">
      <c r="B84" s="176">
        <f>'ULTA Q Rev (Acual)'!B84</f>
        <v>45743</v>
      </c>
      <c r="C84" s="105">
        <f>'ULTA Q Rev (Acual)'!C84</f>
        <v>3487619</v>
      </c>
      <c r="D84" s="221"/>
      <c r="E84" s="221"/>
      <c r="F84" s="221"/>
    </row>
    <row r="85" spans="2:8" x14ac:dyDescent="0.3">
      <c r="B85" s="176">
        <f>'ULTA Q Rev (Acual)'!B85</f>
        <v>45806</v>
      </c>
      <c r="C85" s="105">
        <f>'ULTA Q Rev (Acual)'!C85</f>
        <v>2848367</v>
      </c>
      <c r="D85" s="221"/>
      <c r="E85" s="221"/>
      <c r="F85" s="221"/>
    </row>
    <row r="86" spans="2:8" x14ac:dyDescent="0.3">
      <c r="B86" s="176">
        <f>'ULTA Q Rev (Acual)'!B86</f>
        <v>45897</v>
      </c>
      <c r="C86" s="105">
        <f>'ULTA Q Rev (Acual)'!C86</f>
        <v>2788469</v>
      </c>
      <c r="D86" s="221"/>
      <c r="E86" s="221"/>
      <c r="F86" s="221"/>
    </row>
    <row r="87" spans="2:8" ht="14.5" thickBot="1" x14ac:dyDescent="0.35">
      <c r="B87" s="244">
        <f>'ULTA Q Rev (Acual)'!B87</f>
        <v>45995</v>
      </c>
      <c r="C87" s="238">
        <f>'ULTA Q Rev (Acual)'!C87</f>
        <v>2857623</v>
      </c>
      <c r="D87" s="238">
        <f>Table3[[#This Row],[Sales]]</f>
        <v>2857623</v>
      </c>
      <c r="E87" s="238">
        <f>Table3[[#This Row],[Forecast]]</f>
        <v>2857623</v>
      </c>
      <c r="F87" s="238">
        <f>Table3[[#This Row],[Lower Confidence Bound]]</f>
        <v>2857623</v>
      </c>
    </row>
    <row r="88" spans="2:8" x14ac:dyDescent="0.3">
      <c r="B88" s="224">
        <v>46108</v>
      </c>
      <c r="C88" s="225"/>
      <c r="D88" s="226">
        <f>_xlfn.FORECAST.ETS(B88,$C$5:$C$87,$B$5:$B$87,1,1)</f>
        <v>3124932.9339065203</v>
      </c>
      <c r="E88" s="226">
        <f>D88-_xlfn.FORECAST.ETS.CONFINT(B88,$C$5:$C$87,$B$5:$B$87,0.95,1,1)</f>
        <v>2855144.1805884829</v>
      </c>
      <c r="F88" s="226">
        <f>D88+_xlfn.FORECAST.ETS.CONFINT(B88,$C$5:$C$87,$B$5:$B$87,0.95,1,1)</f>
        <v>3394721.6872245576</v>
      </c>
    </row>
    <row r="89" spans="2:8" x14ac:dyDescent="0.3">
      <c r="B89" s="224">
        <v>46234</v>
      </c>
      <c r="C89" s="225"/>
      <c r="D89" s="226">
        <f t="shared" ref="D89:D93" si="0">_xlfn.FORECAST.ETS(B89,$C$5:$C$87,$B$5:$B$87,1,1)</f>
        <v>3015598.04279949</v>
      </c>
      <c r="E89" s="226">
        <f t="shared" ref="E89:E92" si="1">D89-_xlfn.FORECAST.ETS.CONFINT(B89,$C$5:$C$87,$B$5:$B$87,0.95,1,1)</f>
        <v>2630942.2163975281</v>
      </c>
      <c r="F89" s="226">
        <f t="shared" ref="F89:F92" si="2">D89+_xlfn.FORECAST.ETS.CONFINT(B89,$C$5:$C$87,$B$5:$B$87,0.95,1,1)</f>
        <v>3400253.869201452</v>
      </c>
    </row>
    <row r="90" spans="2:8" x14ac:dyDescent="0.3">
      <c r="B90" s="224">
        <v>46262</v>
      </c>
      <c r="C90" s="225"/>
      <c r="D90" s="226">
        <f t="shared" si="0"/>
        <v>2925789.2758325301</v>
      </c>
      <c r="E90" s="226">
        <f t="shared" si="1"/>
        <v>2518031.1508982792</v>
      </c>
      <c r="F90" s="226">
        <f t="shared" si="2"/>
        <v>3333547.4007667811</v>
      </c>
    </row>
    <row r="91" spans="2:8" x14ac:dyDescent="0.3">
      <c r="B91" s="224">
        <v>46360</v>
      </c>
      <c r="C91" s="225"/>
      <c r="D91" s="226">
        <f t="shared" si="0"/>
        <v>3043106.1481397697</v>
      </c>
      <c r="E91" s="226">
        <f t="shared" si="1"/>
        <v>2551744.487552945</v>
      </c>
      <c r="F91" s="226">
        <f t="shared" si="2"/>
        <v>3534467.8087265943</v>
      </c>
    </row>
    <row r="92" spans="2:8" x14ac:dyDescent="0.3">
      <c r="B92" s="224">
        <v>46473</v>
      </c>
      <c r="C92" s="225"/>
      <c r="D92" s="226">
        <f t="shared" si="0"/>
        <v>3302646.6188756726</v>
      </c>
      <c r="E92" s="226">
        <f t="shared" si="1"/>
        <v>2703549.675428398</v>
      </c>
      <c r="F92" s="226">
        <f t="shared" si="2"/>
        <v>3901743.5623229472</v>
      </c>
    </row>
    <row r="93" spans="2:8" ht="14.5" thickBot="1" x14ac:dyDescent="0.35">
      <c r="B93" s="227">
        <v>46599</v>
      </c>
      <c r="C93" s="228"/>
      <c r="D93" s="229">
        <f t="shared" si="0"/>
        <v>3193311.7277686424</v>
      </c>
      <c r="E93" s="229">
        <f>D93-_xlfn.FORECAST.ETS.CONFINT(B93,$C$5:$C$87,$B$5:$B$87,0.95,1,1)</f>
        <v>2489281.8524329243</v>
      </c>
      <c r="F93" s="229">
        <f>D93+_xlfn.FORECAST.ETS.CONFINT(B93,$C$5:$C$87,$B$5:$B$87,0.95,1,1)</f>
        <v>3897341.6031043604</v>
      </c>
      <c r="H93" s="3"/>
    </row>
    <row r="94" spans="2:8" x14ac:dyDescent="0.3">
      <c r="B94" s="3"/>
      <c r="C94" s="3"/>
      <c r="D94" s="3"/>
      <c r="E94" s="3"/>
      <c r="F94" s="3"/>
    </row>
    <row r="95" spans="2:8" x14ac:dyDescent="0.3">
      <c r="B95" s="3" t="s">
        <v>208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6515C1-DFE3-472F-9FE7-711C901C8F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ULTA Forecast</vt:lpstr>
      <vt:lpstr>ULTA Q Rev (Acual)</vt:lpstr>
      <vt:lpstr>ULTA %Sales &amp; Trend</vt:lpstr>
      <vt:lpstr>ULTA CMA</vt:lpstr>
      <vt:lpstr>ULTA Forecast Factors</vt:lpstr>
      <vt:lpstr>ULTA Expo Smooth</vt:lpstr>
      <vt:lpstr>ULTA HLTES</vt:lpstr>
      <vt:lpstr>ULTA HWAS</vt:lpstr>
      <vt:lpstr>ULTA HWMS</vt:lpstr>
      <vt:lpstr>ULTA Time Series Reg</vt:lpstr>
      <vt:lpstr>ULTA 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R. Mayes, Ph.D.</dc:creator>
  <cp:keywords/>
  <cp:lastModifiedBy>Carolina Galindo Mendoza</cp:lastModifiedBy>
  <cp:lastPrinted>2022-11-22T21:42:41Z</cp:lastPrinted>
  <dcterms:created xsi:type="dcterms:W3CDTF">2016-10-04T18:18:23Z</dcterms:created>
  <dcterms:modified xsi:type="dcterms:W3CDTF">2025-12-11T19:38:00Z</dcterms:modified>
</cp:coreProperties>
</file>